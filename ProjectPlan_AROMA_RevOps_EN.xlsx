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eam &amp; Participants" sheetId="2" state="visible" r:id="rId4"/>
    <sheet name="Current-State" sheetId="3" state="visible" r:id="rId5"/>
    <sheet name="WBS &amp; Tasks" sheetId="4" state="visible" r:id="rId6"/>
    <sheet name="Milestones" sheetId="5" state="visible" r:id="rId7"/>
    <sheet name="KPIs" sheetId="6" state="visible" r:id="rId8"/>
    <sheet name="Risks &amp; Issu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<sst xmlns="http://schemas.openxmlformats.org/spreadsheetml/2006/main" count="527" uniqueCount="360">
  <si>
    <t xml:space="preserve">PROJECT: CROSS-FUNCTIONAL REVENUE OPERATIONS TRANSFORMATION — AROMA</t>
  </si>
  <si>
    <t xml:space="preserve">Project ID</t>
  </si>
  <si>
    <t xml:space="preserve">AROMA-REVOPS-2020</t>
  </si>
  <si>
    <t xml:space="preserve">Sponsor</t>
  </si>
  <si>
    <t xml:space="preserve">CEO (chairs results-review meetings)</t>
  </si>
  <si>
    <t xml:space="preserve">Project Lead (PM)</t>
  </si>
  <si>
    <t xml:space="preserve">Thuy Van — COO (me)</t>
  </si>
  <si>
    <t xml:space="preserve">Technology team</t>
  </si>
  <si>
    <t xml:space="preserve">Tuấn Vũ · Trà Giang</t>
  </si>
  <si>
    <t xml:space="preserve">Start date</t>
  </si>
  <si>
    <t xml:space="preserve">Core project close</t>
  </si>
  <si>
    <t xml:space="preserve">Post-project optimization</t>
  </si>
  <si>
    <t xml:space="preserve">Jun 2021 – Aug 2022 (data optimization tail; BI report v1 = Aug 2022)</t>
  </si>
  <si>
    <t xml:space="preserve">Functions involved</t>
  </si>
  <si>
    <t xml:space="preserve">Marketing · Telesales · Sales · Training · Accounting</t>
  </si>
  <si>
    <t xml:space="preserve">Geographic scope</t>
  </si>
  <si>
    <t xml:space="preserve">Multi-branch (Hanoi &amp; HCMC)</t>
  </si>
  <si>
    <t xml:space="preserve">Platform</t>
  </si>
  <si>
    <t xml:space="preserve">In-house no-code/low-code (issue-based: workflow, automation, JQL, sync)</t>
  </si>
  <si>
    <t xml:space="preserve">Project type</t>
  </si>
  <si>
    <t xml:space="preserve">RevOps operational transformation</t>
  </si>
  <si>
    <t xml:space="preserve">PROJECT OBJECTIVES</t>
  </si>
  <si>
    <t xml:space="preserve">1. Standardize a single customer process across all branches.</t>
  </si>
  <si>
    <t xml:space="preserve">2. Digitize the full Lead-to-Cash funnel so every lead &amp; transaction leaves a data trail.</t>
  </si>
  <si>
    <t xml:space="preserve">3. Make stage-by-stage conversion measurable to optimize the funnel.</t>
  </si>
  <si>
    <t xml:space="preserve">4. Enable revenue attribution to content creator, ad operator, telesales rep, and closer.</t>
  </si>
  <si>
    <t xml:space="preserve">5. Eliminate data waste via automated routing, recall, and recycling of un-closed leads.</t>
  </si>
  <si>
    <t xml:space="preserve">6. Wire compensation directly to operational data, with fair per-stage allocation.</t>
  </si>
  <si>
    <t xml:space="preserve">7. Provide near-real-time cross-functional BI reporting to leadership.</t>
  </si>
  <si>
    <t xml:space="preserve">PROGRESS DASHBOARD (auto from 'WBS &amp; Tasks')</t>
  </si>
  <si>
    <t xml:space="preserve">Metric</t>
  </si>
  <si>
    <t xml:space="preserve">Value</t>
  </si>
  <si>
    <t xml:space="preserve">Total tasks</t>
  </si>
  <si>
    <t xml:space="preserve">Avg % complete</t>
  </si>
  <si>
    <t xml:space="preserve">Completed</t>
  </si>
  <si>
    <t xml:space="preserve">In progress</t>
  </si>
  <si>
    <t xml:space="preserve">Not started</t>
  </si>
  <si>
    <t xml:space="preserve">On hold</t>
  </si>
  <si>
    <t xml:space="preserve">PROJECT TEAM &amp; PARTICIPANTS</t>
  </si>
  <si>
    <t xml:space="preserve">Role</t>
  </si>
  <si>
    <t xml:space="preserve">Name</t>
  </si>
  <si>
    <t xml:space="preserve">Function</t>
  </si>
  <si>
    <t xml:space="preserve">Involvement</t>
  </si>
  <si>
    <t xml:space="preserve">Key responsibilities</t>
  </si>
  <si>
    <t xml:space="preserve">Sponsor / Executive</t>
  </si>
  <si>
    <t xml:space="preserve">CEO</t>
  </si>
  <si>
    <t xml:space="preserve">Executive Board</t>
  </si>
  <si>
    <t xml:space="preserve">Sponsor · chairs results-review meetings</t>
  </si>
  <si>
    <t xml:space="preserve">Approves direction; reviews outcomes in periodic results meetings; removes blockers</t>
  </si>
  <si>
    <t xml:space="preserve">Project Lead (COO)</t>
  </si>
  <si>
    <t xml:space="preserve">Thùy Vân (me)</t>
  </si>
  <si>
    <t xml:space="preserve">Operations / Executive</t>
  </si>
  <si>
    <t xml:space="preserve">Owner · architect · delivery lead</t>
  </si>
  <si>
    <t xml:space="preserve">Designs the full RevOps system (process, data model, attribution, compensation); leads cross-functional rollout &amp; change management</t>
  </si>
  <si>
    <t xml:space="preserve">Technology (1)</t>
  </si>
  <si>
    <t xml:space="preserve">Tuấn Vũ</t>
  </si>
  <si>
    <t xml:space="preserve">Technology</t>
  </si>
  <si>
    <t xml:space="preserve">Core contributor</t>
  </si>
  <si>
    <t xml:space="preserve">System configuration: workflow, automation, cross-object sync, recall/recycle engine</t>
  </si>
  <si>
    <t xml:space="preserve">Technology (2)</t>
  </si>
  <si>
    <t xml:space="preserve">Trà Giang</t>
  </si>
  <si>
    <t xml:space="preserve">Project/workflow setup; lead-routing engine; receipt &amp; revenue configuration</t>
  </si>
  <si>
    <t xml:space="preserve">Marketing Lead</t>
  </si>
  <si>
    <t xml:space="preserve">Huyền Mai</t>
  </si>
  <si>
    <t xml:space="preserve">Marketing</t>
  </si>
  <si>
    <t xml:space="preserve">Contributor</t>
  </si>
  <si>
    <t xml:space="preserve">Lead generation; UTM/attribution inputs; campaign source setup</t>
  </si>
  <si>
    <t xml:space="preserve">Telesales Lead</t>
  </si>
  <si>
    <t xml:space="preserve">Hiền Nguyễn</t>
  </si>
  <si>
    <t xml:space="preserve">Telesales</t>
  </si>
  <si>
    <t xml:space="preserve">First-touch qualification; appointment booking; telesales process adoption</t>
  </si>
  <si>
    <t xml:space="preserve">Sales Lead — HN (Cầu Giấy)</t>
  </si>
  <si>
    <t xml:space="preserve">Hoàng Tuyết</t>
  </si>
  <si>
    <t xml:space="preserve">Sales</t>
  </si>
  <si>
    <t xml:space="preserve">Contributor (pilot &amp; HN rollout)</t>
  </si>
  <si>
    <t xml:space="preserve">HN branches incl. pilot; sales-process feedback; staff training on the new process</t>
  </si>
  <si>
    <t xml:space="preserve">Sales Lead — HCM</t>
  </si>
  <si>
    <t xml:space="preserve">Phan Thơm</t>
  </si>
  <si>
    <t xml:space="preserve">Contributor (HCM rollout)</t>
  </si>
  <si>
    <t xml:space="preserve">HCM branches; sales-process adoption &amp; staff training</t>
  </si>
  <si>
    <t xml:space="preserve">Accounting Lead</t>
  </si>
  <si>
    <t xml:space="preserve">Thu Thủy</t>
  </si>
  <si>
    <t xml:space="preserve">Accounting</t>
  </si>
  <si>
    <t xml:space="preserve">Receipts; revenue recognition; compensation calculation inputs</t>
  </si>
  <si>
    <t xml:space="preserve">Training Lead</t>
  </si>
  <si>
    <t xml:space="preserve">Thùy Vân (COO — kiêm nhiệm)</t>
  </si>
  <si>
    <t xml:space="preserve">Training</t>
  </si>
  <si>
    <t xml:space="preserve">Contributor (COO also leads Training)</t>
  </si>
  <si>
    <t xml:space="preserve">Trial teaching/assessment; renewal (re-sell) motion</t>
  </si>
  <si>
    <t xml:space="preserve">Note: names in [brackets] are role placeholders — replace with the actual person. 'Thuy Van (me)' = project owner/COO.</t>
  </si>
  <si>
    <t xml:space="preserve">CURRENT-STATE ASSESSMENT</t>
  </si>
  <si>
    <t xml:space="preserve">ID</t>
  </si>
  <si>
    <t xml:space="preserve">Problem area</t>
  </si>
  <si>
    <t xml:space="preserve">Current state (issue)</t>
  </si>
  <si>
    <t xml:space="preserve">Business impact</t>
  </si>
  <si>
    <t xml:space="preserve">Root cause</t>
  </si>
  <si>
    <t xml:space="preserve">Severity</t>
  </si>
  <si>
    <t xml:space="preserve">Resolution direction</t>
  </si>
  <si>
    <t xml:space="preserve">CS-01</t>
  </si>
  <si>
    <t xml:space="preserve">Process</t>
  </si>
  <si>
    <t xml:space="preserve">Each branch ran a different process; leadership lacked real-site visibility</t>
  </si>
  <si>
    <t xml:space="preserve">No control, no cross-branch comparison</t>
  </si>
  <si>
    <t xml:space="preserve">Lack of standardization &amp; operational governance</t>
  </si>
  <si>
    <t xml:space="preserve">High</t>
  </si>
  <si>
    <t xml:space="preserve">Standardize one process, enforced through the system</t>
  </si>
  <si>
    <t xml:space="preserve">CS-02</t>
  </si>
  <si>
    <t xml:space="preserve">People</t>
  </si>
  <si>
    <t xml:space="preserve">Branch managers wanted autonomy, resisted oversight, externalized blame</t>
  </si>
  <si>
    <t xml:space="preserve">Blocked change adoption</t>
  </si>
  <si>
    <t xml:space="preserve">Legacy operating culture, low data transparency</t>
  </si>
  <si>
    <t xml:space="preserve">Re-scope roles; pilot first; manage change psychology</t>
  </si>
  <si>
    <t xml:space="preserve">CS-03</t>
  </si>
  <si>
    <t xml:space="preserve">Sales funnel</t>
  </si>
  <si>
    <t xml:space="preserve">Appointment/contact rate only ~12-13%</t>
  </si>
  <si>
    <t xml:space="preserve">Major funnel leak at intake</t>
  </si>
  <si>
    <t xml:space="preserve">Telesales lacked process/pressure; low talk time (0.6-0.9h)</t>
  </si>
  <si>
    <t xml:space="preserve">Standardize telesales process, lead scoring, data-driven bonus</t>
  </si>
  <si>
    <t xml:space="preserve">CS-04</t>
  </si>
  <si>
    <t xml:space="preserve">No stage-by-stage conversion measurement (MKT→appt→action→payment)</t>
  </si>
  <si>
    <t xml:space="preserve">Couldn't locate where the funnel leaked</t>
  </si>
  <si>
    <t xml:space="preserve">Fragmented, disconnected data</t>
  </si>
  <si>
    <t xml:space="preserve">Digitize full funnel; enforce complete fields per stage</t>
  </si>
  <si>
    <t xml:space="preserve">CS-05</t>
  </si>
  <si>
    <t xml:space="preserve">Data</t>
  </si>
  <si>
    <t xml:space="preserve">10-20% of leads unworked; qualified prospects lost</t>
  </si>
  <si>
    <t xml:space="preserve">Lost potential revenue</t>
  </si>
  <si>
    <t xml:space="preserve">No lead rotation / continuous nurturing</t>
  </si>
  <si>
    <t xml:space="preserve">Round-robin routing + automated recall/recycle</t>
  </si>
  <si>
    <t xml:space="preserve">CS-06</t>
  </si>
  <si>
    <t xml:space="preserve">Reps hoarded personal pipelines; no rotation</t>
  </si>
  <si>
    <t xml:space="preserve">Data 'died' in personal accounts</t>
  </si>
  <si>
    <t xml:space="preserve">No data-ownership standard</t>
  </si>
  <si>
    <t xml:space="preserve">Medium</t>
  </si>
  <si>
    <t xml:space="preserve">Define data as company asset; recall after 3 months un-closed</t>
  </si>
  <si>
    <t xml:space="preserve">CS-07</t>
  </si>
  <si>
    <t xml:space="preserve">Compensation</t>
  </si>
  <si>
    <t xml:space="preserve">Couldn't trace lead source or who did which stage</t>
  </si>
  <si>
    <t xml:space="preserve">Unfair incentives, low motivation</t>
  </si>
  <si>
    <t xml:space="preserve">No attribution model or per-stage data</t>
  </si>
  <si>
    <t xml:space="preserve">UTM attribution + multi-touch allocation; acquisition credit</t>
  </si>
  <si>
    <t xml:space="preserve">CS-08</t>
  </si>
  <si>
    <t xml:space="preserve">Reporting</t>
  </si>
  <si>
    <t xml:space="preserve">Disconnected Excel reports, per-branch templates, slow consolidation</t>
  </si>
  <si>
    <t xml:space="preserve">Delayed executive decisions</t>
  </si>
  <si>
    <t xml:space="preserve">No standardized data foundation or BI</t>
  </si>
  <si>
    <t xml:space="preserve">Standard reporting framework + cross-functional BI dashboards</t>
  </si>
  <si>
    <t xml:space="preserve">WORK BREAKDOWN STRUCTURE &amp; TASK TRACKER</t>
  </si>
  <si>
    <t xml:space="preserve">WBS</t>
  </si>
  <si>
    <t xml:space="preserve">Task</t>
  </si>
  <si>
    <t xml:space="preserve">Assignee</t>
  </si>
  <si>
    <t xml:space="preserve">Participants</t>
  </si>
  <si>
    <t xml:space="preserve">Start</t>
  </si>
  <si>
    <t xml:space="preserve">Finish</t>
  </si>
  <si>
    <t xml:space="preserve">Days</t>
  </si>
  <si>
    <t xml:space="preserve">Status</t>
  </si>
  <si>
    <t xml:space="preserve">% Complete</t>
  </si>
  <si>
    <t xml:space="preserve">Depends</t>
  </si>
  <si>
    <t xml:space="preserve">Notes</t>
  </si>
  <si>
    <t xml:space="preserve">1</t>
  </si>
  <si>
    <t xml:space="preserve">P1. Diagnosis &amp; Initiation</t>
  </si>
  <si>
    <t xml:space="preserve">1.1</t>
  </si>
  <si>
    <t xml:space="preserve">Survey current-state operations per branch</t>
  </si>
  <si>
    <t xml:space="preserve">Thùy Vân (COO — me)</t>
  </si>
  <si>
    <t xml:space="preserve">Hiền Nguyễn, Hoàng Tuyết, Phan Thơm</t>
  </si>
  <si>
    <t xml:space="preserve">Interviews + funnel data collection</t>
  </si>
  <si>
    <t xml:space="preserve">1.2</t>
  </si>
  <si>
    <t xml:space="preserve">Analyze funnel leakage &amp; bottlenecks</t>
  </si>
  <si>
    <t xml:space="preserve">Appointment/action stage = key focus</t>
  </si>
  <si>
    <t xml:space="preserve">1.3</t>
  </si>
  <si>
    <t xml:space="preserve">Confirm project objectives &amp; scope</t>
  </si>
  <si>
    <t xml:space="preserve">[CEO]</t>
  </si>
  <si>
    <t xml:space="preserve">Charter reviewed with CEO</t>
  </si>
  <si>
    <t xml:space="preserve">2</t>
  </si>
  <si>
    <t xml:space="preserve">P2. Process &amp; Data Design</t>
  </si>
  <si>
    <t xml:space="preserve">2.1</t>
  </si>
  <si>
    <t xml:space="preserve">Design Lead-to-Cash pipeline &amp; state workflow</t>
  </si>
  <si>
    <t xml:space="preserve">Tuấn Vũ, Trà Giang</t>
  </si>
  <si>
    <t xml:space="preserve">8 Deal states + Appointment workflow</t>
  </si>
  <si>
    <t xml:space="preserve">2.2</t>
  </si>
  <si>
    <t xml:space="preserve">Design multi-object data model</t>
  </si>
  <si>
    <t xml:space="preserve">Trà Giang (Tech)</t>
  </si>
  <si>
    <t xml:space="preserve">Deal↔Appt↔Contact↔Receipt↔Customer</t>
  </si>
  <si>
    <t xml:space="preserve">2.3</t>
  </si>
  <si>
    <t xml:space="preserve">Define field taxonomy</t>
  </si>
  <si>
    <t xml:space="preserve">Huyền Mai, Thu Thủy</t>
  </si>
  <si>
    <t xml:space="preserve">Attribution, source, status fields</t>
  </si>
  <si>
    <t xml:space="preserve">2.4</t>
  </si>
  <si>
    <t xml:space="preserve">Design lead-scoring framework (5-criteria ABCD)</t>
  </si>
  <si>
    <t xml:space="preserve">Need/Product/Finance/Location/Timing</t>
  </si>
  <si>
    <t xml:space="preserve">3</t>
  </si>
  <si>
    <t xml:space="preserve">P3. System Configuration</t>
  </si>
  <si>
    <t xml:space="preserve">3.1</t>
  </si>
  <si>
    <t xml:space="preserve">Create project cluster (CRM, Appt, Receipt, Revenue, Class)</t>
  </si>
  <si>
    <t xml:space="preserve">Tuấn Vũ (Tech)</t>
  </si>
  <si>
    <t xml:space="preserve">Partitioned by region</t>
  </si>
  <si>
    <t xml:space="preserve">3.2</t>
  </si>
  <si>
    <t xml:space="preserve">Configure workflow, screens, fields, permissions</t>
  </si>
  <si>
    <t xml:space="preserve">Validators enforce fields per stage</t>
  </si>
  <si>
    <t xml:space="preserve">3.3</t>
  </si>
  <si>
    <t xml:space="preserve">Automation &amp; cross-object sync</t>
  </si>
  <si>
    <t xml:space="preserve">Deal→Contact→Receipt auto-generation</t>
  </si>
  <si>
    <t xml:space="preserve">3.4</t>
  </si>
  <si>
    <t xml:space="preserve">Lead-routing engine (weighted round-robin) + accept status</t>
  </si>
  <si>
    <t xml:space="preserve">Tuấn Vũ, Hiền Nguyễn</t>
  </si>
  <si>
    <t xml:space="preserve">JQL filters by lead source</t>
  </si>
  <si>
    <t xml:space="preserve">3.5</t>
  </si>
  <si>
    <t xml:space="preserve">Data recall &amp; recycling on schedule</t>
  </si>
  <si>
    <t xml:space="preserve">Recall &gt;3 months; block rotation</t>
  </si>
  <si>
    <t xml:space="preserve">4</t>
  </si>
  <si>
    <t xml:space="preserve">P4. Attribution &amp; Compensation</t>
  </si>
  <si>
    <t xml:space="preserve">4.1</t>
  </si>
  <si>
    <t xml:space="preserve">Standardize UTM &amp; attribution fields (locked)</t>
  </si>
  <si>
    <t xml:space="preserve">Huyền Mai, Tuấn Vũ</t>
  </si>
  <si>
    <t xml:space="preserve">utm_* + content/ad custom fields</t>
  </si>
  <si>
    <t xml:space="preserve">4.2</t>
  </si>
  <si>
    <t xml:space="preserve">Design time-decay attribution model</t>
  </si>
  <si>
    <t xml:space="preserve">0-3m 100% / 3-6m 60% / 6-12m 30%</t>
  </si>
  <si>
    <t xml:space="preserve">4.3</t>
  </si>
  <si>
    <t xml:space="preserve">Design per-stage revenue allocation</t>
  </si>
  <si>
    <t xml:space="preserve">Tele 50% / Close 50%; acquisition separate</t>
  </si>
  <si>
    <t xml:space="preserve">4.4</t>
  </si>
  <si>
    <t xml:space="preserve">Build bonus formula + quality-adjustment coefficient</t>
  </si>
  <si>
    <t xml:space="preserve">Thu Thủy (Accounting Lead)</t>
  </si>
  <si>
    <t xml:space="preserve">4 salary tiers; ABCD coeff; manager override</t>
  </si>
  <si>
    <t xml:space="preserve">5</t>
  </si>
  <si>
    <t xml:space="preserve">P5. Pilot</t>
  </si>
  <si>
    <t xml:space="preserve">5.1</t>
  </si>
  <si>
    <t xml:space="preserve">Trial the new process on a test project</t>
  </si>
  <si>
    <t xml:space="preserve">Thùy Vân, Huyền Mai</t>
  </si>
  <si>
    <t xml:space="preserve">MKT data push + sales process test</t>
  </si>
  <si>
    <t xml:space="preserve">5.2</t>
  </si>
  <si>
    <t xml:space="preserve">Pilot rollout at one branch (Hoang Cau)</t>
  </si>
  <si>
    <t xml:space="preserve">Prove at one site first</t>
  </si>
  <si>
    <t xml:space="preserve">5.3</t>
  </si>
  <si>
    <t xml:space="preserve">Train staff &amp; refine process</t>
  </si>
  <si>
    <t xml:space="preserve">Onboard new staff to standard process</t>
  </si>
  <si>
    <t xml:space="preserve">6</t>
  </si>
  <si>
    <t xml:space="preserve">P6. Cross-Branch Rollout</t>
  </si>
  <si>
    <t xml:space="preserve">6.1</t>
  </si>
  <si>
    <t xml:space="preserve">Roll out to Hanoi branches</t>
  </si>
  <si>
    <t xml:space="preserve">Cau Giay, Hoang Cau...</t>
  </si>
  <si>
    <t xml:space="preserve">6.2</t>
  </si>
  <si>
    <t xml:space="preserve">Roll out to HCMC branches</t>
  </si>
  <si>
    <t xml:space="preserve">Region-split projects/accounts</t>
  </si>
  <si>
    <t xml:space="preserve">6.3</t>
  </si>
  <si>
    <t xml:space="preserve">Standardize periodic staffing/ops reporting</t>
  </si>
  <si>
    <t xml:space="preserve">Continuous reporting to managers &amp; reps</t>
  </si>
  <si>
    <t xml:space="preserve">7</t>
  </si>
  <si>
    <t xml:space="preserve">P7. Reporting Framework &amp; Handover</t>
  </si>
  <si>
    <t xml:space="preserve">7.1</t>
  </si>
  <si>
    <t xml:space="preserve">Design standard reporting framework ('aroma way')</t>
  </si>
  <si>
    <t xml:space="preserve">Situation→issues→assessment→solution</t>
  </si>
  <si>
    <t xml:space="preserve">7.2</t>
  </si>
  <si>
    <t xml:space="preserve">Documentation &amp; handover; project close</t>
  </si>
  <si>
    <t xml:space="preserve">Core project completion (Q2 2021)</t>
  </si>
  <si>
    <t xml:space="preserve">8</t>
  </si>
  <si>
    <t xml:space="preserve">P8. Post-Project Data Optimization</t>
  </si>
  <si>
    <t xml:space="preserve">8.1</t>
  </si>
  <si>
    <t xml:space="preserve">Ongoing data optimization &amp; cleanup</t>
  </si>
  <si>
    <t xml:space="preserve">Post-project; not part of core delivery</t>
  </si>
  <si>
    <t xml:space="preserve">8.2</t>
  </si>
  <si>
    <t xml:space="preserve">Build cross-functional BI report v1</t>
  </si>
  <si>
    <t xml:space="preserve">Reviewed with CEO in results meeting; v1 = Aug 2022</t>
  </si>
  <si>
    <t xml:space="preserve">PROJECT MILESTONES</t>
  </si>
  <si>
    <t xml:space="preserve">Milestone</t>
  </si>
  <si>
    <t xml:space="preserve">Phase</t>
  </si>
  <si>
    <t xml:space="preserve">Owner</t>
  </si>
  <si>
    <t xml:space="preserve">Target date</t>
  </si>
  <si>
    <t xml:space="preserve">Actual date</t>
  </si>
  <si>
    <t xml:space="preserve">M1</t>
  </si>
  <si>
    <t xml:space="preserve">Diagnosis complete &amp; scope confirmed</t>
  </si>
  <si>
    <t xml:space="preserve">P1</t>
  </si>
  <si>
    <t xml:space="preserve">M2</t>
  </si>
  <si>
    <t xml:space="preserve">Process &amp; data model design signed off</t>
  </si>
  <si>
    <t xml:space="preserve">P2</t>
  </si>
  <si>
    <t xml:space="preserve">2-day slip</t>
  </si>
  <si>
    <t xml:space="preserve">M3</t>
  </si>
  <si>
    <t xml:space="preserve">System configured, ready for pilot</t>
  </si>
  <si>
    <t xml:space="preserve">P3</t>
  </si>
  <si>
    <t xml:space="preserve">M4</t>
  </si>
  <si>
    <t xml:space="preserve">Attribution &amp; compensation approved</t>
  </si>
  <si>
    <t xml:space="preserve">P4</t>
  </si>
  <si>
    <t xml:space="preserve">M5</t>
  </si>
  <si>
    <t xml:space="preserve">Successful pilot at one branch</t>
  </si>
  <si>
    <t xml:space="preserve">P5</t>
  </si>
  <si>
    <t xml:space="preserve">Hoang Cau branch</t>
  </si>
  <si>
    <t xml:space="preserve">M6</t>
  </si>
  <si>
    <t xml:space="preserve">Rollout complete across HN &amp; HCMC</t>
  </si>
  <si>
    <t xml:space="preserve">P6</t>
  </si>
  <si>
    <t xml:space="preserve">HCMC slipped slightly</t>
  </si>
  <si>
    <t xml:space="preserve">M7</t>
  </si>
  <si>
    <t xml:space="preserve">Reporting framework, handover — PROJECT CLOSE</t>
  </si>
  <si>
    <t xml:space="preserve">P7</t>
  </si>
  <si>
    <t xml:space="preserve">Core project close (Q2 2021)</t>
  </si>
  <si>
    <t xml:space="preserve">M8</t>
  </si>
  <si>
    <t xml:space="preserve">BI report v1 (post-project optimization snapshot)</t>
  </si>
  <si>
    <t xml:space="preserve">P8</t>
  </si>
  <si>
    <t xml:space="preserve">Reviewed with CEO; downstream evidence, not a project deliverable</t>
  </si>
  <si>
    <t xml:space="preserve">KEY PERFORMANCE INDICATORS (BASELINE — TARGET — ACHIEVED)</t>
  </si>
  <si>
    <t xml:space="preserve">KPI</t>
  </si>
  <si>
    <t xml:space="preserve">Unit</t>
  </si>
  <si>
    <t xml:space="preserve">Baseline</t>
  </si>
  <si>
    <t xml:space="preserve">Target</t>
  </si>
  <si>
    <t xml:space="preserve">Stabilized</t>
  </si>
  <si>
    <t xml:space="preserve">Peak</t>
  </si>
  <si>
    <t xml:space="preserve">Delta (pp)</t>
  </si>
  <si>
    <t xml:space="preserve">Relative gain</t>
  </si>
  <si>
    <t xml:space="preserve">Source / Notes</t>
  </si>
  <si>
    <t xml:space="preserve">K1</t>
  </si>
  <si>
    <t xml:space="preserve">Appointment rate / MKT leads</t>
  </si>
  <si>
    <t xml:space="preserve">%</t>
  </si>
  <si>
    <t xml:space="preserve">Baseline from 2019-2020 funnel; ~30% at peak</t>
  </si>
  <si>
    <t xml:space="preserve">K2</t>
  </si>
  <si>
    <t xml:space="preserve">Close rate (closed / actioned)</t>
  </si>
  <si>
    <t xml:space="preserve">Matches BI report 08/2022 (~50%, up to ~67% by segment/period)</t>
  </si>
  <si>
    <t xml:space="preserve">K3</t>
  </si>
  <si>
    <t xml:space="preserve">Unworked-lead rate</t>
  </si>
  <si>
    <t xml:space="preserve">Baseline 10-20%; cut via auto routing &amp; recall</t>
  </si>
  <si>
    <t xml:space="preserve">K4</t>
  </si>
  <si>
    <t xml:space="preserve">Telesales talk time</t>
  </si>
  <si>
    <t xml:space="preserve">hrs/day</t>
  </si>
  <si>
    <t xml:space="preserve">Baseline 0.6-0.9h; up via process &amp; quota pressure</t>
  </si>
  <si>
    <t xml:space="preserve">K5</t>
  </si>
  <si>
    <t xml:space="preserve">Report consolidation time</t>
  </si>
  <si>
    <t xml:space="preserve">days</t>
  </si>
  <si>
    <t xml:space="preserve">From several days → near real-time via cross-functional BI</t>
  </si>
  <si>
    <t xml:space="preserve">RISK &amp; ISSUE REGISTER</t>
  </si>
  <si>
    <t xml:space="preserve">Risk / Issue</t>
  </si>
  <si>
    <t xml:space="preserve">Category</t>
  </si>
  <si>
    <t xml:space="preserve">Likelihood</t>
  </si>
  <si>
    <t xml:space="preserve">Impact</t>
  </si>
  <si>
    <t xml:space="preserve">Mitigation</t>
  </si>
  <si>
    <t xml:space="preserve">R1</t>
  </si>
  <si>
    <t xml:space="preserve">Change resistance from branch managers</t>
  </si>
  <si>
    <t xml:space="preserve">Re-scope roles; pilot first; manage psychology; transparent reporting</t>
  </si>
  <si>
    <t xml:space="preserve">Resolved</t>
  </si>
  <si>
    <t xml:space="preserve">R2</t>
  </si>
  <si>
    <t xml:space="preserve">Incomplete data entry by staff</t>
  </si>
  <si>
    <t xml:space="preserve">Operations</t>
  </si>
  <si>
    <t xml:space="preserve">Validators per stage; locked attribution fields; auto-fill</t>
  </si>
  <si>
    <t xml:space="preserve">R3</t>
  </si>
  <si>
    <t xml:space="preserve">Unfair comp when a customer passes many hands</t>
  </si>
  <si>
    <t xml:space="preserve">Durable Contact model + time-decay attribution</t>
  </si>
  <si>
    <t xml:space="preserve">R4</t>
  </si>
  <si>
    <t xml:space="preserve">Wasted historical lead data</t>
  </si>
  <si>
    <t xml:space="preserve">Scheduled recall/recycle engine; re-warm before redistribution</t>
  </si>
  <si>
    <t xml:space="preserve">R5</t>
  </si>
  <si>
    <t xml:space="preserve">Technical risk in multi-object sync</t>
  </si>
  <si>
    <t xml:space="preserve">Technical</t>
  </si>
  <si>
    <t xml:space="preserve">Test on staging project; monitor automation; manual fallback</t>
  </si>
  <si>
    <t xml:space="preserve">Monitoring</t>
  </si>
  <si>
    <t xml:space="preserve">R6</t>
  </si>
  <si>
    <t xml:space="preserve">Dependency on key personnel in operations</t>
  </si>
  <si>
    <t xml:space="preserve">Organization</t>
  </si>
  <si>
    <t xml:space="preserve">Documented process; embed logic in system; succession training</t>
  </si>
  <si>
    <t xml:space="preserve">Mitigated</t>
  </si>
  <si>
    <t xml:space="preserve">R7</t>
  </si>
  <si>
    <t xml:space="preserve">External context affecting 2020 revenue</t>
  </si>
  <si>
    <t xml:space="preserve">External</t>
  </si>
  <si>
    <t xml:space="preserve">Focus on conversion optimization &amp; data recycling to offset intake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</si>
</sst>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General"/>
    <numFmt numFmtId="167" formatCode="0%"/>
    <numFmt numFmtId="168" formatCode="dd/mm/yyyy"/>
    <numFmt numFmtId="169" formatCode="\+0%;\-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2E5496"/>
        <bgColor rgb="FF1F3864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1F2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24"/>
    <col collapsed="false" customWidth="true" hidden="false" outlineLevel="0" max="4" min="4" style="0" width="40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  <c r="C3" s="2" t="s">
        <v>3</v>
      </c>
      <c r="D3" s="3" t="s">
        <v>4</v>
      </c>
    </row>
    <row r="4" customFormat="false" ht="15" hidden="false" customHeight="false" outlineLevel="0" collapsed="false">
      <c r="A4" s="2" t="s">
        <v>5</v>
      </c>
      <c r="B4" s="3" t="s">
        <v>6</v>
      </c>
      <c r="C4" s="2" t="s">
        <v>7</v>
      </c>
      <c r="D4" s="3" t="s">
        <v>8</v>
      </c>
    </row>
    <row r="5" customFormat="false" ht="15" hidden="false" customHeight="false" outlineLevel="0" collapsed="false">
      <c r="A5" s="2" t="s">
        <v>9</v>
      </c>
      <c r="B5" s="4" t="n">
        <v>43836</v>
      </c>
      <c r="C5" s="2" t="s">
        <v>10</v>
      </c>
      <c r="D5" s="4" t="n">
        <v>44377</v>
      </c>
    </row>
    <row r="6" customFormat="false" ht="23.85" hidden="false" customHeight="false" outlineLevel="0" collapsed="false">
      <c r="A6" s="2" t="s">
        <v>11</v>
      </c>
      <c r="B6" s="3" t="s">
        <v>12</v>
      </c>
      <c r="C6" s="2"/>
      <c r="D6" s="3"/>
    </row>
    <row r="7" customFormat="false" ht="23.85" hidden="false" customHeight="false" outlineLevel="0" collapsed="false">
      <c r="A7" s="2" t="s">
        <v>13</v>
      </c>
      <c r="B7" s="3" t="s">
        <v>14</v>
      </c>
      <c r="C7" s="2" t="s">
        <v>15</v>
      </c>
      <c r="D7" s="3" t="s">
        <v>16</v>
      </c>
    </row>
    <row r="8" customFormat="false" ht="23.85" hidden="false" customHeight="false" outlineLevel="0" collapsed="false">
      <c r="A8" s="2" t="s">
        <v>17</v>
      </c>
      <c r="B8" s="3" t="s">
        <v>18</v>
      </c>
      <c r="C8" s="2" t="s">
        <v>19</v>
      </c>
      <c r="D8" s="3" t="s">
        <v>20</v>
      </c>
    </row>
    <row r="10" customFormat="false" ht="15" hidden="false" customHeight="false" outlineLevel="0" collapsed="false">
      <c r="A10" s="5" t="s">
        <v>21</v>
      </c>
      <c r="B10" s="5"/>
      <c r="C10" s="5"/>
      <c r="D10" s="5"/>
    </row>
    <row r="11" customFormat="false" ht="15" hidden="false" customHeight="true" outlineLevel="0" collapsed="false">
      <c r="A11" s="6" t="s">
        <v>22</v>
      </c>
      <c r="B11" s="6"/>
      <c r="C11" s="6"/>
      <c r="D11" s="6"/>
    </row>
    <row r="12" customFormat="false" ht="15" hidden="false" customHeight="true" outlineLevel="0" collapsed="false">
      <c r="A12" s="6" t="s">
        <v>23</v>
      </c>
      <c r="B12" s="6"/>
      <c r="C12" s="6"/>
      <c r="D12" s="6"/>
    </row>
    <row r="13" customFormat="false" ht="15" hidden="false" customHeight="true" outlineLevel="0" collapsed="false">
      <c r="A13" s="6" t="s">
        <v>24</v>
      </c>
      <c r="B13" s="6"/>
      <c r="C13" s="6"/>
      <c r="D13" s="6"/>
    </row>
    <row r="14" customFormat="false" ht="15" hidden="false" customHeight="true" outlineLevel="0" collapsed="false">
      <c r="A14" s="6" t="s">
        <v>25</v>
      </c>
      <c r="B14" s="6"/>
      <c r="C14" s="6"/>
      <c r="D14" s="6"/>
    </row>
    <row r="15" customFormat="false" ht="15" hidden="false" customHeight="true" outlineLevel="0" collapsed="false">
      <c r="A15" s="6" t="s">
        <v>26</v>
      </c>
      <c r="B15" s="6"/>
      <c r="C15" s="6"/>
      <c r="D15" s="6"/>
    </row>
    <row r="16" customFormat="false" ht="15" hidden="false" customHeight="true" outlineLevel="0" collapsed="false">
      <c r="A16" s="6" t="s">
        <v>27</v>
      </c>
      <c r="B16" s="6"/>
      <c r="C16" s="6"/>
      <c r="D16" s="6"/>
    </row>
    <row r="17" customFormat="false" ht="15" hidden="false" customHeight="true" outlineLevel="0" collapsed="false">
      <c r="A17" s="6" t="s">
        <v>28</v>
      </c>
      <c r="B17" s="6"/>
      <c r="C17" s="6"/>
      <c r="D17" s="6"/>
    </row>
    <row r="19" customFormat="false" ht="15" hidden="false" customHeight="false" outlineLevel="0" collapsed="false">
      <c r="A19" s="5" t="s">
        <v>29</v>
      </c>
      <c r="B19" s="5"/>
      <c r="C19" s="5"/>
      <c r="D19" s="5"/>
    </row>
    <row r="20" customFormat="false" ht="15" hidden="false" customHeight="false" outlineLevel="0" collapsed="false">
      <c r="A20" s="7" t="s">
        <v>30</v>
      </c>
      <c r="B20" s="7" t="s">
        <v>31</v>
      </c>
      <c r="C20" s="7" t="s">
        <v>30</v>
      </c>
      <c r="D20" s="7" t="s">
        <v>31</v>
      </c>
    </row>
    <row r="21" customFormat="false" ht="15" hidden="false" customHeight="false" outlineLevel="0" collapsed="false">
      <c r="A21" s="8" t="s">
        <v>32</v>
      </c>
      <c r="B21" s="9" t="n">
        <f aca="false">COUNTA('WBS &amp; Tasks'!H5:H37)</f>
        <v>26</v>
      </c>
      <c r="C21" s="8" t="s">
        <v>33</v>
      </c>
      <c r="D21" s="10" t="n">
        <f aca="false">IFERROR(AVERAGE('WBS &amp; Tasks'!I5:I37),0)</f>
        <v>1</v>
      </c>
    </row>
    <row r="22" customFormat="false" ht="15" hidden="false" customHeight="false" outlineLevel="0" collapsed="false">
      <c r="A22" s="8" t="s">
        <v>34</v>
      </c>
      <c r="B22" s="9" t="n">
        <f aca="false">COUNTIF('WBS &amp; Tasks'!H5:H37,"Completed")</f>
        <v>26</v>
      </c>
      <c r="C22" s="8" t="s">
        <v>35</v>
      </c>
      <c r="D22" s="9" t="n">
        <f aca="false">COUNTIF('WBS &amp; Tasks'!H5:H37,"In Progress")</f>
        <v>0</v>
      </c>
    </row>
    <row r="23" customFormat="false" ht="15" hidden="false" customHeight="false" outlineLevel="0" collapsed="false">
      <c r="A23" s="8" t="s">
        <v>36</v>
      </c>
      <c r="B23" s="9" t="n">
        <f aca="false">COUNTIF('WBS &amp; Tasks'!H5:H37,"Not Started")</f>
        <v>0</v>
      </c>
      <c r="C23" s="8" t="s">
        <v>37</v>
      </c>
      <c r="D23" s="9" t="n">
        <f aca="false">COUNTIF('WBS &amp; Tasks'!H5:H37,"On Hold")</f>
        <v>0</v>
      </c>
    </row>
  </sheetData>
  <mergeCells count="10">
    <mergeCell ref="A1:D1"/>
    <mergeCell ref="A10:D10"/>
    <mergeCell ref="A11:D11"/>
    <mergeCell ref="A12:D12"/>
    <mergeCell ref="A13:D13"/>
    <mergeCell ref="A14:D14"/>
    <mergeCell ref="A15:D15"/>
    <mergeCell ref="A16:D16"/>
    <mergeCell ref="A17:D17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60"/>
  </cols>
  <sheetData>
    <row r="1" customFormat="false" ht="25.5" hidden="false" customHeight="true" outlineLevel="0" collapsed="false">
      <c r="A1" s="1" t="s">
        <v>38</v>
      </c>
      <c r="B1" s="1"/>
      <c r="C1" s="1"/>
      <c r="D1" s="1"/>
      <c r="E1" s="1"/>
    </row>
    <row r="3" customFormat="false" ht="15" hidden="false" customHeight="false" outlineLevel="0" collapsed="false">
      <c r="A3" s="7" t="s">
        <v>39</v>
      </c>
      <c r="B3" s="7" t="s">
        <v>40</v>
      </c>
      <c r="C3" s="7" t="s">
        <v>41</v>
      </c>
      <c r="D3" s="7" t="s">
        <v>42</v>
      </c>
      <c r="E3" s="7" t="s">
        <v>43</v>
      </c>
    </row>
    <row r="4" customFormat="false" ht="23.85" hidden="false" customHeight="false" outlineLevel="0" collapsed="false">
      <c r="A4" s="11" t="s">
        <v>44</v>
      </c>
      <c r="B4" s="11" t="s">
        <v>45</v>
      </c>
      <c r="C4" s="12" t="s">
        <v>46</v>
      </c>
      <c r="D4" s="12" t="s">
        <v>47</v>
      </c>
      <c r="E4" s="12" t="s">
        <v>48</v>
      </c>
    </row>
    <row r="5" customFormat="false" ht="23.85" hidden="false" customHeight="false" outlineLevel="0" collapsed="false">
      <c r="A5" s="13" t="s">
        <v>49</v>
      </c>
      <c r="B5" s="13" t="s">
        <v>50</v>
      </c>
      <c r="C5" s="12" t="s">
        <v>51</v>
      </c>
      <c r="D5" s="12" t="s">
        <v>52</v>
      </c>
      <c r="E5" s="12" t="s">
        <v>53</v>
      </c>
    </row>
    <row r="6" customFormat="false" ht="23.85" hidden="false" customHeight="false" outlineLevel="0" collapsed="false">
      <c r="A6" s="14" t="s">
        <v>54</v>
      </c>
      <c r="B6" s="14" t="s">
        <v>55</v>
      </c>
      <c r="C6" s="12" t="s">
        <v>56</v>
      </c>
      <c r="D6" s="12" t="s">
        <v>57</v>
      </c>
      <c r="E6" s="12" t="s">
        <v>58</v>
      </c>
    </row>
    <row r="7" customFormat="false" ht="23.85" hidden="false" customHeight="false" outlineLevel="0" collapsed="false">
      <c r="A7" s="14" t="s">
        <v>59</v>
      </c>
      <c r="B7" s="14" t="s">
        <v>60</v>
      </c>
      <c r="C7" s="12" t="s">
        <v>56</v>
      </c>
      <c r="D7" s="12" t="s">
        <v>57</v>
      </c>
      <c r="E7" s="12" t="s">
        <v>61</v>
      </c>
    </row>
    <row r="8" customFormat="false" ht="15" hidden="false" customHeight="false" outlineLevel="0" collapsed="false">
      <c r="A8" s="15" t="s">
        <v>62</v>
      </c>
      <c r="B8" s="15" t="s">
        <v>63</v>
      </c>
      <c r="C8" s="12" t="s">
        <v>64</v>
      </c>
      <c r="D8" s="12" t="s">
        <v>65</v>
      </c>
      <c r="E8" s="12" t="s">
        <v>66</v>
      </c>
    </row>
    <row r="9" customFormat="false" ht="15" hidden="false" customHeight="false" outlineLevel="0" collapsed="false">
      <c r="A9" s="15" t="s">
        <v>67</v>
      </c>
      <c r="B9" s="15" t="s">
        <v>68</v>
      </c>
      <c r="C9" s="12" t="s">
        <v>69</v>
      </c>
      <c r="D9" s="12" t="s">
        <v>65</v>
      </c>
      <c r="E9" s="12" t="s">
        <v>70</v>
      </c>
    </row>
    <row r="10" customFormat="false" ht="23.85" hidden="false" customHeight="false" outlineLevel="0" collapsed="false">
      <c r="A10" s="15" t="s">
        <v>71</v>
      </c>
      <c r="B10" s="15" t="s">
        <v>72</v>
      </c>
      <c r="C10" s="12" t="s">
        <v>73</v>
      </c>
      <c r="D10" s="12" t="s">
        <v>74</v>
      </c>
      <c r="E10" s="12" t="s">
        <v>75</v>
      </c>
    </row>
    <row r="11" customFormat="false" ht="15" hidden="false" customHeight="false" outlineLevel="0" collapsed="false">
      <c r="A11" s="15" t="s">
        <v>76</v>
      </c>
      <c r="B11" s="15" t="s">
        <v>77</v>
      </c>
      <c r="C11" s="12" t="s">
        <v>73</v>
      </c>
      <c r="D11" s="12" t="s">
        <v>78</v>
      </c>
      <c r="E11" s="12" t="s">
        <v>79</v>
      </c>
    </row>
    <row r="12" customFormat="false" ht="15" hidden="false" customHeight="false" outlineLevel="0" collapsed="false">
      <c r="A12" s="15" t="s">
        <v>80</v>
      </c>
      <c r="B12" s="15" t="s">
        <v>81</v>
      </c>
      <c r="C12" s="12" t="s">
        <v>82</v>
      </c>
      <c r="D12" s="12" t="s">
        <v>65</v>
      </c>
      <c r="E12" s="12" t="s">
        <v>83</v>
      </c>
    </row>
    <row r="13" customFormat="false" ht="23.85" hidden="false" customHeight="false" outlineLevel="0" collapsed="false">
      <c r="A13" s="13" t="s">
        <v>84</v>
      </c>
      <c r="B13" s="13" t="s">
        <v>85</v>
      </c>
      <c r="C13" s="12" t="s">
        <v>86</v>
      </c>
      <c r="D13" s="12" t="s">
        <v>87</v>
      </c>
      <c r="E13" s="12" t="s">
        <v>88</v>
      </c>
    </row>
    <row r="15" customFormat="false" ht="15" hidden="false" customHeight="false" outlineLevel="0" collapsed="false">
      <c r="A15" s="16" t="s">
        <v>89</v>
      </c>
      <c r="B15" s="16"/>
      <c r="C15" s="16"/>
      <c r="D15" s="16"/>
      <c r="E15" s="16"/>
    </row>
  </sheetData>
  <mergeCells count="2">
    <mergeCell ref="A1:E1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5" min="4" style="0" width="32"/>
    <col collapsed="false" customWidth="true" hidden="false" outlineLevel="0" max="6" min="6" style="0" width="10"/>
    <col collapsed="false" customWidth="true" hidden="false" outlineLevel="0" max="7" min="7" style="0" width="40"/>
  </cols>
  <sheetData>
    <row r="1" customFormat="false" ht="25.5" hidden="false" customHeight="true" outlineLevel="0" collapsed="false">
      <c r="A1" s="1" t="s">
        <v>90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7" t="s">
        <v>91</v>
      </c>
      <c r="B3" s="7" t="s">
        <v>92</v>
      </c>
      <c r="C3" s="7" t="s">
        <v>93</v>
      </c>
      <c r="D3" s="7" t="s">
        <v>94</v>
      </c>
      <c r="E3" s="7" t="s">
        <v>95</v>
      </c>
      <c r="F3" s="7" t="s">
        <v>96</v>
      </c>
      <c r="G3" s="7" t="s">
        <v>97</v>
      </c>
    </row>
    <row r="4" customFormat="false" ht="23.85" hidden="false" customHeight="false" outlineLevel="0" collapsed="false">
      <c r="A4" s="17" t="s">
        <v>98</v>
      </c>
      <c r="B4" s="12" t="s">
        <v>99</v>
      </c>
      <c r="C4" s="12" t="s">
        <v>100</v>
      </c>
      <c r="D4" s="12" t="s">
        <v>101</v>
      </c>
      <c r="E4" s="12" t="s">
        <v>102</v>
      </c>
      <c r="F4" s="18" t="s">
        <v>103</v>
      </c>
      <c r="G4" s="12" t="s">
        <v>104</v>
      </c>
    </row>
    <row r="5" customFormat="false" ht="23.85" hidden="false" customHeight="false" outlineLevel="0" collapsed="false">
      <c r="A5" s="17" t="s">
        <v>105</v>
      </c>
      <c r="B5" s="12" t="s">
        <v>106</v>
      </c>
      <c r="C5" s="12" t="s">
        <v>107</v>
      </c>
      <c r="D5" s="12" t="s">
        <v>108</v>
      </c>
      <c r="E5" s="12" t="s">
        <v>109</v>
      </c>
      <c r="F5" s="18" t="s">
        <v>103</v>
      </c>
      <c r="G5" s="12" t="s">
        <v>110</v>
      </c>
    </row>
    <row r="6" customFormat="false" ht="23.85" hidden="false" customHeight="false" outlineLevel="0" collapsed="false">
      <c r="A6" s="17" t="s">
        <v>111</v>
      </c>
      <c r="B6" s="12" t="s">
        <v>112</v>
      </c>
      <c r="C6" s="12" t="s">
        <v>113</v>
      </c>
      <c r="D6" s="12" t="s">
        <v>114</v>
      </c>
      <c r="E6" s="12" t="s">
        <v>115</v>
      </c>
      <c r="F6" s="18" t="s">
        <v>103</v>
      </c>
      <c r="G6" s="12" t="s">
        <v>116</v>
      </c>
    </row>
    <row r="7" customFormat="false" ht="23.85" hidden="false" customHeight="false" outlineLevel="0" collapsed="false">
      <c r="A7" s="17" t="s">
        <v>117</v>
      </c>
      <c r="B7" s="12" t="s">
        <v>112</v>
      </c>
      <c r="C7" s="12" t="s">
        <v>118</v>
      </c>
      <c r="D7" s="12" t="s">
        <v>119</v>
      </c>
      <c r="E7" s="12" t="s">
        <v>120</v>
      </c>
      <c r="F7" s="18" t="s">
        <v>103</v>
      </c>
      <c r="G7" s="12" t="s">
        <v>121</v>
      </c>
    </row>
    <row r="8" customFormat="false" ht="23.85" hidden="false" customHeight="false" outlineLevel="0" collapsed="false">
      <c r="A8" s="17" t="s">
        <v>122</v>
      </c>
      <c r="B8" s="12" t="s">
        <v>123</v>
      </c>
      <c r="C8" s="12" t="s">
        <v>124</v>
      </c>
      <c r="D8" s="12" t="s">
        <v>125</v>
      </c>
      <c r="E8" s="12" t="s">
        <v>126</v>
      </c>
      <c r="F8" s="18" t="s">
        <v>103</v>
      </c>
      <c r="G8" s="12" t="s">
        <v>127</v>
      </c>
    </row>
    <row r="9" customFormat="false" ht="23.85" hidden="false" customHeight="false" outlineLevel="0" collapsed="false">
      <c r="A9" s="17" t="s">
        <v>128</v>
      </c>
      <c r="B9" s="12" t="s">
        <v>123</v>
      </c>
      <c r="C9" s="12" t="s">
        <v>129</v>
      </c>
      <c r="D9" s="12" t="s">
        <v>130</v>
      </c>
      <c r="E9" s="12" t="s">
        <v>131</v>
      </c>
      <c r="F9" s="19" t="s">
        <v>132</v>
      </c>
      <c r="G9" s="12" t="s">
        <v>133</v>
      </c>
    </row>
    <row r="10" customFormat="false" ht="23.85" hidden="false" customHeight="false" outlineLevel="0" collapsed="false">
      <c r="A10" s="17" t="s">
        <v>134</v>
      </c>
      <c r="B10" s="12" t="s">
        <v>135</v>
      </c>
      <c r="C10" s="12" t="s">
        <v>136</v>
      </c>
      <c r="D10" s="12" t="s">
        <v>137</v>
      </c>
      <c r="E10" s="12" t="s">
        <v>138</v>
      </c>
      <c r="F10" s="18" t="s">
        <v>103</v>
      </c>
      <c r="G10" s="12" t="s">
        <v>139</v>
      </c>
    </row>
    <row r="11" customFormat="false" ht="23.85" hidden="false" customHeight="false" outlineLevel="0" collapsed="false">
      <c r="A11" s="17" t="s">
        <v>140</v>
      </c>
      <c r="B11" s="12" t="s">
        <v>141</v>
      </c>
      <c r="C11" s="12" t="s">
        <v>142</v>
      </c>
      <c r="D11" s="12" t="s">
        <v>143</v>
      </c>
      <c r="E11" s="12" t="s">
        <v>144</v>
      </c>
      <c r="F11" s="19" t="s">
        <v>132</v>
      </c>
      <c r="G11" s="12" t="s">
        <v>145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6" min="5" style="0" width="11"/>
    <col collapsed="false" customWidth="true" hidden="false" outlineLevel="0" max="7" min="7" style="0" width="7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40"/>
  </cols>
  <sheetData>
    <row r="1" customFormat="false" ht="25.5" hidden="false" customHeight="true" outlineLevel="0" collapsed="false">
      <c r="A1" s="1" t="s">
        <v>146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5" hidden="false" customHeight="false" outlineLevel="0" collapsed="false">
      <c r="A3" s="7" t="s">
        <v>147</v>
      </c>
      <c r="B3" s="7" t="s">
        <v>148</v>
      </c>
      <c r="C3" s="7" t="s">
        <v>149</v>
      </c>
      <c r="D3" s="7" t="s">
        <v>150</v>
      </c>
      <c r="E3" s="7" t="s">
        <v>151</v>
      </c>
      <c r="F3" s="7" t="s">
        <v>152</v>
      </c>
      <c r="G3" s="7" t="s">
        <v>153</v>
      </c>
      <c r="H3" s="7" t="s">
        <v>154</v>
      </c>
      <c r="I3" s="7" t="s">
        <v>155</v>
      </c>
      <c r="J3" s="7" t="s">
        <v>156</v>
      </c>
      <c r="K3" s="7" t="s">
        <v>157</v>
      </c>
    </row>
    <row r="4" customFormat="false" ht="15" hidden="false" customHeight="false" outlineLevel="0" collapsed="false">
      <c r="A4" s="20" t="s">
        <v>158</v>
      </c>
      <c r="B4" s="8" t="s">
        <v>159</v>
      </c>
      <c r="C4" s="8"/>
      <c r="D4" s="8"/>
      <c r="E4" s="20"/>
      <c r="F4" s="20"/>
      <c r="G4" s="20"/>
      <c r="H4" s="20"/>
      <c r="I4" s="20"/>
      <c r="J4" s="8"/>
      <c r="K4" s="8"/>
    </row>
    <row r="5" customFormat="false" ht="23.85" hidden="false" customHeight="false" outlineLevel="0" collapsed="false">
      <c r="A5" s="17" t="s">
        <v>160</v>
      </c>
      <c r="B5" s="12" t="s">
        <v>161</v>
      </c>
      <c r="C5" s="15" t="s">
        <v>162</v>
      </c>
      <c r="D5" s="12" t="s">
        <v>163</v>
      </c>
      <c r="E5" s="21" t="n">
        <v>43836</v>
      </c>
      <c r="F5" s="21" t="n">
        <v>43843</v>
      </c>
      <c r="G5" s="17" t="n">
        <f aca="false">F5-E5</f>
        <v>7</v>
      </c>
      <c r="H5" s="22" t="s">
        <v>34</v>
      </c>
      <c r="I5" s="23" t="n">
        <v>1</v>
      </c>
      <c r="J5" s="12"/>
      <c r="K5" s="12" t="s">
        <v>164</v>
      </c>
    </row>
    <row r="6" customFormat="false" ht="15" hidden="false" customHeight="false" outlineLevel="0" collapsed="false">
      <c r="A6" s="17" t="s">
        <v>165</v>
      </c>
      <c r="B6" s="12" t="s">
        <v>166</v>
      </c>
      <c r="C6" s="15" t="s">
        <v>162</v>
      </c>
      <c r="D6" s="12"/>
      <c r="E6" s="21" t="n">
        <v>43843</v>
      </c>
      <c r="F6" s="21" t="n">
        <v>43850</v>
      </c>
      <c r="G6" s="17" t="n">
        <f aca="false">F6-E6</f>
        <v>7</v>
      </c>
      <c r="H6" s="22" t="s">
        <v>34</v>
      </c>
      <c r="I6" s="23" t="n">
        <v>1</v>
      </c>
      <c r="J6" s="12" t="s">
        <v>160</v>
      </c>
      <c r="K6" s="12" t="s">
        <v>167</v>
      </c>
    </row>
    <row r="7" customFormat="false" ht="15" hidden="false" customHeight="false" outlineLevel="0" collapsed="false">
      <c r="A7" s="17" t="s">
        <v>168</v>
      </c>
      <c r="B7" s="12" t="s">
        <v>169</v>
      </c>
      <c r="C7" s="15" t="s">
        <v>162</v>
      </c>
      <c r="D7" s="12" t="s">
        <v>170</v>
      </c>
      <c r="E7" s="21" t="n">
        <v>43845</v>
      </c>
      <c r="F7" s="21" t="n">
        <v>43852</v>
      </c>
      <c r="G7" s="17" t="n">
        <f aca="false">F7-E7</f>
        <v>7</v>
      </c>
      <c r="H7" s="22" t="s">
        <v>34</v>
      </c>
      <c r="I7" s="23" t="n">
        <v>1</v>
      </c>
      <c r="J7" s="12" t="s">
        <v>165</v>
      </c>
      <c r="K7" s="12" t="s">
        <v>171</v>
      </c>
    </row>
    <row r="8" customFormat="false" ht="15" hidden="false" customHeight="false" outlineLevel="0" collapsed="false">
      <c r="A8" s="20" t="s">
        <v>172</v>
      </c>
      <c r="B8" s="8" t="s">
        <v>173</v>
      </c>
      <c r="C8" s="8"/>
      <c r="D8" s="8"/>
      <c r="E8" s="20"/>
      <c r="F8" s="20"/>
      <c r="G8" s="20"/>
      <c r="H8" s="20"/>
      <c r="I8" s="20"/>
      <c r="J8" s="8"/>
      <c r="K8" s="8"/>
    </row>
    <row r="9" customFormat="false" ht="15" hidden="false" customHeight="false" outlineLevel="0" collapsed="false">
      <c r="A9" s="17" t="s">
        <v>174</v>
      </c>
      <c r="B9" s="12" t="s">
        <v>175</v>
      </c>
      <c r="C9" s="15" t="s">
        <v>162</v>
      </c>
      <c r="D9" s="12" t="s">
        <v>176</v>
      </c>
      <c r="E9" s="21" t="n">
        <v>43850</v>
      </c>
      <c r="F9" s="21" t="n">
        <v>43871</v>
      </c>
      <c r="G9" s="17" t="n">
        <f aca="false">F9-E9</f>
        <v>21</v>
      </c>
      <c r="H9" s="22" t="s">
        <v>34</v>
      </c>
      <c r="I9" s="23" t="n">
        <v>1</v>
      </c>
      <c r="J9" s="12" t="s">
        <v>168</v>
      </c>
      <c r="K9" s="12" t="s">
        <v>177</v>
      </c>
    </row>
    <row r="10" customFormat="false" ht="15" hidden="false" customHeight="false" outlineLevel="0" collapsed="false">
      <c r="A10" s="17" t="s">
        <v>178</v>
      </c>
      <c r="B10" s="12" t="s">
        <v>179</v>
      </c>
      <c r="C10" s="15" t="s">
        <v>162</v>
      </c>
      <c r="D10" s="12" t="s">
        <v>180</v>
      </c>
      <c r="E10" s="21" t="n">
        <v>43857</v>
      </c>
      <c r="F10" s="21" t="n">
        <v>43878</v>
      </c>
      <c r="G10" s="17" t="n">
        <f aca="false">F10-E10</f>
        <v>21</v>
      </c>
      <c r="H10" s="22" t="s">
        <v>34</v>
      </c>
      <c r="I10" s="23" t="n">
        <v>1</v>
      </c>
      <c r="J10" s="12" t="s">
        <v>174</v>
      </c>
      <c r="K10" s="12" t="s">
        <v>181</v>
      </c>
    </row>
    <row r="11" customFormat="false" ht="15" hidden="false" customHeight="false" outlineLevel="0" collapsed="false">
      <c r="A11" s="17" t="s">
        <v>182</v>
      </c>
      <c r="B11" s="12" t="s">
        <v>183</v>
      </c>
      <c r="C11" s="15" t="s">
        <v>162</v>
      </c>
      <c r="D11" s="12" t="s">
        <v>184</v>
      </c>
      <c r="E11" s="21" t="n">
        <v>43864</v>
      </c>
      <c r="F11" s="21" t="n">
        <v>43881</v>
      </c>
      <c r="G11" s="17" t="n">
        <f aca="false">F11-E11</f>
        <v>17</v>
      </c>
      <c r="H11" s="22" t="s">
        <v>34</v>
      </c>
      <c r="I11" s="23" t="n">
        <v>1</v>
      </c>
      <c r="J11" s="12" t="s">
        <v>178</v>
      </c>
      <c r="K11" s="12" t="s">
        <v>185</v>
      </c>
    </row>
    <row r="12" customFormat="false" ht="23.85" hidden="false" customHeight="false" outlineLevel="0" collapsed="false">
      <c r="A12" s="17" t="s">
        <v>186</v>
      </c>
      <c r="B12" s="12" t="s">
        <v>187</v>
      </c>
      <c r="C12" s="15" t="s">
        <v>162</v>
      </c>
      <c r="D12" s="12" t="s">
        <v>163</v>
      </c>
      <c r="E12" s="21" t="n">
        <v>43871</v>
      </c>
      <c r="F12" s="21" t="n">
        <v>43885</v>
      </c>
      <c r="G12" s="17" t="n">
        <f aca="false">F12-E12</f>
        <v>14</v>
      </c>
      <c r="H12" s="22" t="s">
        <v>34</v>
      </c>
      <c r="I12" s="23" t="n">
        <v>1</v>
      </c>
      <c r="J12" s="12" t="s">
        <v>182</v>
      </c>
      <c r="K12" s="12" t="s">
        <v>188</v>
      </c>
    </row>
    <row r="13" customFormat="false" ht="15" hidden="false" customHeight="false" outlineLevel="0" collapsed="false">
      <c r="A13" s="20" t="s">
        <v>189</v>
      </c>
      <c r="B13" s="8" t="s">
        <v>190</v>
      </c>
      <c r="C13" s="8"/>
      <c r="D13" s="8"/>
      <c r="E13" s="20"/>
      <c r="F13" s="20"/>
      <c r="G13" s="20"/>
      <c r="H13" s="20"/>
      <c r="I13" s="20"/>
      <c r="J13" s="8"/>
      <c r="K13" s="8"/>
    </row>
    <row r="14" customFormat="false" ht="23.85" hidden="false" customHeight="false" outlineLevel="0" collapsed="false">
      <c r="A14" s="17" t="s">
        <v>191</v>
      </c>
      <c r="B14" s="12" t="s">
        <v>192</v>
      </c>
      <c r="C14" s="15" t="s">
        <v>180</v>
      </c>
      <c r="D14" s="12" t="s">
        <v>193</v>
      </c>
      <c r="E14" s="21" t="n">
        <v>43881</v>
      </c>
      <c r="F14" s="21" t="n">
        <v>43895</v>
      </c>
      <c r="G14" s="17" t="n">
        <f aca="false">F14-E14</f>
        <v>14</v>
      </c>
      <c r="H14" s="22" t="s">
        <v>34</v>
      </c>
      <c r="I14" s="23" t="n">
        <v>1</v>
      </c>
      <c r="J14" s="12" t="s">
        <v>178</v>
      </c>
      <c r="K14" s="12" t="s">
        <v>194</v>
      </c>
    </row>
    <row r="15" customFormat="false" ht="15" hidden="false" customHeight="false" outlineLevel="0" collapsed="false">
      <c r="A15" s="17" t="s">
        <v>195</v>
      </c>
      <c r="B15" s="12" t="s">
        <v>196</v>
      </c>
      <c r="C15" s="15" t="s">
        <v>193</v>
      </c>
      <c r="D15" s="12" t="s">
        <v>180</v>
      </c>
      <c r="E15" s="21" t="n">
        <v>43885</v>
      </c>
      <c r="F15" s="21" t="n">
        <v>43900</v>
      </c>
      <c r="G15" s="17" t="n">
        <f aca="false">F15-E15</f>
        <v>15</v>
      </c>
      <c r="H15" s="22" t="s">
        <v>34</v>
      </c>
      <c r="I15" s="23" t="n">
        <v>1</v>
      </c>
      <c r="J15" s="12" t="s">
        <v>191</v>
      </c>
      <c r="K15" s="12" t="s">
        <v>197</v>
      </c>
    </row>
    <row r="16" customFormat="false" ht="15" hidden="false" customHeight="false" outlineLevel="0" collapsed="false">
      <c r="A16" s="17" t="s">
        <v>198</v>
      </c>
      <c r="B16" s="12" t="s">
        <v>199</v>
      </c>
      <c r="C16" s="15" t="s">
        <v>193</v>
      </c>
      <c r="D16" s="12" t="s">
        <v>180</v>
      </c>
      <c r="E16" s="21" t="n">
        <v>43890</v>
      </c>
      <c r="F16" s="21" t="n">
        <v>43905</v>
      </c>
      <c r="G16" s="17" t="n">
        <f aca="false">F16-E16</f>
        <v>15</v>
      </c>
      <c r="H16" s="22" t="s">
        <v>34</v>
      </c>
      <c r="I16" s="23" t="n">
        <v>1</v>
      </c>
      <c r="J16" s="12" t="s">
        <v>195</v>
      </c>
      <c r="K16" s="12" t="s">
        <v>200</v>
      </c>
    </row>
    <row r="17" customFormat="false" ht="23.85" hidden="false" customHeight="false" outlineLevel="0" collapsed="false">
      <c r="A17" s="17" t="s">
        <v>201</v>
      </c>
      <c r="B17" s="12" t="s">
        <v>202</v>
      </c>
      <c r="C17" s="15" t="s">
        <v>180</v>
      </c>
      <c r="D17" s="12" t="s">
        <v>203</v>
      </c>
      <c r="E17" s="21" t="n">
        <v>43891</v>
      </c>
      <c r="F17" s="21" t="n">
        <v>43910</v>
      </c>
      <c r="G17" s="17" t="n">
        <f aca="false">F17-E17</f>
        <v>19</v>
      </c>
      <c r="H17" s="22" t="s">
        <v>34</v>
      </c>
      <c r="I17" s="23" t="n">
        <v>1</v>
      </c>
      <c r="J17" s="12" t="s">
        <v>198</v>
      </c>
      <c r="K17" s="12" t="s">
        <v>204</v>
      </c>
    </row>
    <row r="18" customFormat="false" ht="15" hidden="false" customHeight="false" outlineLevel="0" collapsed="false">
      <c r="A18" s="17" t="s">
        <v>205</v>
      </c>
      <c r="B18" s="12" t="s">
        <v>206</v>
      </c>
      <c r="C18" s="15" t="s">
        <v>193</v>
      </c>
      <c r="D18" s="12" t="s">
        <v>162</v>
      </c>
      <c r="E18" s="21" t="n">
        <v>43900</v>
      </c>
      <c r="F18" s="21" t="n">
        <v>43921</v>
      </c>
      <c r="G18" s="17" t="n">
        <f aca="false">F18-E18</f>
        <v>21</v>
      </c>
      <c r="H18" s="22" t="s">
        <v>34</v>
      </c>
      <c r="I18" s="23" t="n">
        <v>1</v>
      </c>
      <c r="J18" s="12" t="s">
        <v>201</v>
      </c>
      <c r="K18" s="12" t="s">
        <v>207</v>
      </c>
    </row>
    <row r="19" customFormat="false" ht="15" hidden="false" customHeight="false" outlineLevel="0" collapsed="false">
      <c r="A19" s="20" t="s">
        <v>208</v>
      </c>
      <c r="B19" s="8" t="s">
        <v>209</v>
      </c>
      <c r="C19" s="8"/>
      <c r="D19" s="8"/>
      <c r="E19" s="20"/>
      <c r="F19" s="20"/>
      <c r="G19" s="20"/>
      <c r="H19" s="20"/>
      <c r="I19" s="20"/>
      <c r="J19" s="8"/>
      <c r="K19" s="8"/>
    </row>
    <row r="20" customFormat="false" ht="15" hidden="false" customHeight="false" outlineLevel="0" collapsed="false">
      <c r="A20" s="17" t="s">
        <v>210</v>
      </c>
      <c r="B20" s="12" t="s">
        <v>211</v>
      </c>
      <c r="C20" s="15" t="s">
        <v>162</v>
      </c>
      <c r="D20" s="12" t="s">
        <v>212</v>
      </c>
      <c r="E20" s="21" t="n">
        <v>43891</v>
      </c>
      <c r="F20" s="21" t="n">
        <v>43905</v>
      </c>
      <c r="G20" s="17" t="n">
        <f aca="false">F20-E20</f>
        <v>14</v>
      </c>
      <c r="H20" s="22" t="s">
        <v>34</v>
      </c>
      <c r="I20" s="23" t="n">
        <v>1</v>
      </c>
      <c r="J20" s="12" t="s">
        <v>198</v>
      </c>
      <c r="K20" s="12" t="s">
        <v>213</v>
      </c>
    </row>
    <row r="21" customFormat="false" ht="15" hidden="false" customHeight="false" outlineLevel="0" collapsed="false">
      <c r="A21" s="17" t="s">
        <v>214</v>
      </c>
      <c r="B21" s="12" t="s">
        <v>215</v>
      </c>
      <c r="C21" s="15" t="s">
        <v>162</v>
      </c>
      <c r="D21" s="12"/>
      <c r="E21" s="21" t="n">
        <v>43900</v>
      </c>
      <c r="F21" s="21" t="n">
        <v>43915</v>
      </c>
      <c r="G21" s="17" t="n">
        <f aca="false">F21-E21</f>
        <v>15</v>
      </c>
      <c r="H21" s="22" t="s">
        <v>34</v>
      </c>
      <c r="I21" s="23" t="n">
        <v>1</v>
      </c>
      <c r="J21" s="12" t="s">
        <v>210</v>
      </c>
      <c r="K21" s="12" t="s">
        <v>216</v>
      </c>
    </row>
    <row r="22" customFormat="false" ht="23.85" hidden="false" customHeight="false" outlineLevel="0" collapsed="false">
      <c r="A22" s="17" t="s">
        <v>217</v>
      </c>
      <c r="B22" s="12" t="s">
        <v>218</v>
      </c>
      <c r="C22" s="15" t="s">
        <v>162</v>
      </c>
      <c r="D22" s="12" t="s">
        <v>163</v>
      </c>
      <c r="E22" s="21" t="n">
        <v>43905</v>
      </c>
      <c r="F22" s="21" t="n">
        <v>43921</v>
      </c>
      <c r="G22" s="17" t="n">
        <f aca="false">F22-E22</f>
        <v>16</v>
      </c>
      <c r="H22" s="22" t="s">
        <v>34</v>
      </c>
      <c r="I22" s="23" t="n">
        <v>1</v>
      </c>
      <c r="J22" s="12" t="s">
        <v>214</v>
      </c>
      <c r="K22" s="12" t="s">
        <v>219</v>
      </c>
    </row>
    <row r="23" customFormat="false" ht="15" hidden="false" customHeight="false" outlineLevel="0" collapsed="false">
      <c r="A23" s="17" t="s">
        <v>220</v>
      </c>
      <c r="B23" s="12" t="s">
        <v>221</v>
      </c>
      <c r="C23" s="15" t="s">
        <v>162</v>
      </c>
      <c r="D23" s="12" t="s">
        <v>222</v>
      </c>
      <c r="E23" s="21" t="n">
        <v>43910</v>
      </c>
      <c r="F23" s="21" t="n">
        <v>43936</v>
      </c>
      <c r="G23" s="17" t="n">
        <f aca="false">F23-E23</f>
        <v>26</v>
      </c>
      <c r="H23" s="22" t="s">
        <v>34</v>
      </c>
      <c r="I23" s="23" t="n">
        <v>1</v>
      </c>
      <c r="J23" s="12" t="s">
        <v>217</v>
      </c>
      <c r="K23" s="12" t="s">
        <v>223</v>
      </c>
    </row>
    <row r="24" customFormat="false" ht="15" hidden="false" customHeight="false" outlineLevel="0" collapsed="false">
      <c r="A24" s="20" t="s">
        <v>224</v>
      </c>
      <c r="B24" s="8" t="s">
        <v>225</v>
      </c>
      <c r="C24" s="8"/>
      <c r="D24" s="8"/>
      <c r="E24" s="20"/>
      <c r="F24" s="20"/>
      <c r="G24" s="20"/>
      <c r="H24" s="20"/>
      <c r="I24" s="20"/>
      <c r="J24" s="8"/>
      <c r="K24" s="8"/>
    </row>
    <row r="25" customFormat="false" ht="15" hidden="false" customHeight="false" outlineLevel="0" collapsed="false">
      <c r="A25" s="17" t="s">
        <v>226</v>
      </c>
      <c r="B25" s="12" t="s">
        <v>227</v>
      </c>
      <c r="C25" s="15" t="s">
        <v>193</v>
      </c>
      <c r="D25" s="12" t="s">
        <v>228</v>
      </c>
      <c r="E25" s="21" t="n">
        <v>43918</v>
      </c>
      <c r="F25" s="21" t="n">
        <v>43931</v>
      </c>
      <c r="G25" s="17" t="n">
        <f aca="false">F25-E25</f>
        <v>13</v>
      </c>
      <c r="H25" s="22" t="s">
        <v>34</v>
      </c>
      <c r="I25" s="23" t="n">
        <v>1</v>
      </c>
      <c r="J25" s="12" t="s">
        <v>205</v>
      </c>
      <c r="K25" s="12" t="s">
        <v>229</v>
      </c>
    </row>
    <row r="26" customFormat="false" ht="15" hidden="false" customHeight="false" outlineLevel="0" collapsed="false">
      <c r="A26" s="17" t="s">
        <v>230</v>
      </c>
      <c r="B26" s="12" t="s">
        <v>231</v>
      </c>
      <c r="C26" s="15" t="s">
        <v>162</v>
      </c>
      <c r="D26" s="12" t="s">
        <v>72</v>
      </c>
      <c r="E26" s="21" t="n">
        <v>43922</v>
      </c>
      <c r="F26" s="21" t="n">
        <v>43966</v>
      </c>
      <c r="G26" s="17" t="n">
        <f aca="false">F26-E26</f>
        <v>44</v>
      </c>
      <c r="H26" s="22" t="s">
        <v>34</v>
      </c>
      <c r="I26" s="23" t="n">
        <v>1</v>
      </c>
      <c r="J26" s="12" t="s">
        <v>226</v>
      </c>
      <c r="K26" s="12" t="s">
        <v>232</v>
      </c>
    </row>
    <row r="27" customFormat="false" ht="15" hidden="false" customHeight="false" outlineLevel="0" collapsed="false">
      <c r="A27" s="17" t="s">
        <v>233</v>
      </c>
      <c r="B27" s="12" t="s">
        <v>234</v>
      </c>
      <c r="C27" s="15" t="s">
        <v>162</v>
      </c>
      <c r="D27" s="12" t="s">
        <v>72</v>
      </c>
      <c r="E27" s="21" t="n">
        <v>43936</v>
      </c>
      <c r="F27" s="21" t="n">
        <v>43982</v>
      </c>
      <c r="G27" s="17" t="n">
        <f aca="false">F27-E27</f>
        <v>46</v>
      </c>
      <c r="H27" s="22" t="s">
        <v>34</v>
      </c>
      <c r="I27" s="23" t="n">
        <v>1</v>
      </c>
      <c r="J27" s="12" t="s">
        <v>230</v>
      </c>
      <c r="K27" s="12" t="s">
        <v>235</v>
      </c>
    </row>
    <row r="28" customFormat="false" ht="15" hidden="false" customHeight="false" outlineLevel="0" collapsed="false">
      <c r="A28" s="20" t="s">
        <v>236</v>
      </c>
      <c r="B28" s="8" t="s">
        <v>237</v>
      </c>
      <c r="C28" s="8"/>
      <c r="D28" s="8"/>
      <c r="E28" s="20"/>
      <c r="F28" s="20"/>
      <c r="G28" s="20"/>
      <c r="H28" s="20"/>
      <c r="I28" s="20"/>
      <c r="J28" s="8"/>
      <c r="K28" s="8"/>
    </row>
    <row r="29" customFormat="false" ht="15" hidden="false" customHeight="false" outlineLevel="0" collapsed="false">
      <c r="A29" s="17" t="s">
        <v>238</v>
      </c>
      <c r="B29" s="12" t="s">
        <v>239</v>
      </c>
      <c r="C29" s="15" t="s">
        <v>162</v>
      </c>
      <c r="D29" s="12" t="s">
        <v>72</v>
      </c>
      <c r="E29" s="21" t="n">
        <v>43983</v>
      </c>
      <c r="F29" s="21" t="n">
        <v>44135</v>
      </c>
      <c r="G29" s="17" t="n">
        <f aca="false">F29-E29</f>
        <v>152</v>
      </c>
      <c r="H29" s="22" t="s">
        <v>34</v>
      </c>
      <c r="I29" s="23" t="n">
        <v>1</v>
      </c>
      <c r="J29" s="12" t="s">
        <v>233</v>
      </c>
      <c r="K29" s="12" t="s">
        <v>240</v>
      </c>
    </row>
    <row r="30" customFormat="false" ht="15" hidden="false" customHeight="false" outlineLevel="0" collapsed="false">
      <c r="A30" s="17" t="s">
        <v>241</v>
      </c>
      <c r="B30" s="12" t="s">
        <v>242</v>
      </c>
      <c r="C30" s="15" t="s">
        <v>162</v>
      </c>
      <c r="D30" s="12" t="s">
        <v>77</v>
      </c>
      <c r="E30" s="21" t="n">
        <v>44075</v>
      </c>
      <c r="F30" s="21" t="n">
        <v>44286</v>
      </c>
      <c r="G30" s="17" t="n">
        <f aca="false">F30-E30</f>
        <v>211</v>
      </c>
      <c r="H30" s="22" t="s">
        <v>34</v>
      </c>
      <c r="I30" s="23" t="n">
        <v>1</v>
      </c>
      <c r="J30" s="12" t="s">
        <v>238</v>
      </c>
      <c r="K30" s="12" t="s">
        <v>243</v>
      </c>
    </row>
    <row r="31" customFormat="false" ht="23.85" hidden="false" customHeight="false" outlineLevel="0" collapsed="false">
      <c r="A31" s="17" t="s">
        <v>244</v>
      </c>
      <c r="B31" s="12" t="s">
        <v>245</v>
      </c>
      <c r="C31" s="15" t="s">
        <v>162</v>
      </c>
      <c r="D31" s="12" t="s">
        <v>163</v>
      </c>
      <c r="E31" s="21" t="n">
        <v>44013</v>
      </c>
      <c r="F31" s="21" t="n">
        <v>44347</v>
      </c>
      <c r="G31" s="17" t="n">
        <f aca="false">F31-E31</f>
        <v>334</v>
      </c>
      <c r="H31" s="22" t="s">
        <v>34</v>
      </c>
      <c r="I31" s="23" t="n">
        <v>1</v>
      </c>
      <c r="J31" s="12" t="s">
        <v>238</v>
      </c>
      <c r="K31" s="12" t="s">
        <v>246</v>
      </c>
    </row>
    <row r="32" customFormat="false" ht="15" hidden="false" customHeight="false" outlineLevel="0" collapsed="false">
      <c r="A32" s="20" t="s">
        <v>247</v>
      </c>
      <c r="B32" s="8" t="s">
        <v>248</v>
      </c>
      <c r="C32" s="8"/>
      <c r="D32" s="8"/>
      <c r="E32" s="20"/>
      <c r="F32" s="20"/>
      <c r="G32" s="20"/>
      <c r="H32" s="20"/>
      <c r="I32" s="20"/>
      <c r="J32" s="8"/>
      <c r="K32" s="8"/>
    </row>
    <row r="33" customFormat="false" ht="15" hidden="false" customHeight="false" outlineLevel="0" collapsed="false">
      <c r="A33" s="17" t="s">
        <v>249</v>
      </c>
      <c r="B33" s="12" t="s">
        <v>250</v>
      </c>
      <c r="C33" s="15" t="s">
        <v>162</v>
      </c>
      <c r="D33" s="12" t="s">
        <v>170</v>
      </c>
      <c r="E33" s="21" t="n">
        <v>44197</v>
      </c>
      <c r="F33" s="21" t="n">
        <v>44316</v>
      </c>
      <c r="G33" s="17" t="n">
        <f aca="false">F33-E33</f>
        <v>119</v>
      </c>
      <c r="H33" s="22" t="s">
        <v>34</v>
      </c>
      <c r="I33" s="23" t="n">
        <v>1</v>
      </c>
      <c r="J33" s="12" t="s">
        <v>244</v>
      </c>
      <c r="K33" s="12" t="s">
        <v>251</v>
      </c>
    </row>
    <row r="34" customFormat="false" ht="15" hidden="false" customHeight="false" outlineLevel="0" collapsed="false">
      <c r="A34" s="17" t="s">
        <v>252</v>
      </c>
      <c r="B34" s="12" t="s">
        <v>253</v>
      </c>
      <c r="C34" s="15" t="s">
        <v>162</v>
      </c>
      <c r="D34" s="12" t="s">
        <v>176</v>
      </c>
      <c r="E34" s="21" t="n">
        <v>44317</v>
      </c>
      <c r="F34" s="21" t="n">
        <v>44377</v>
      </c>
      <c r="G34" s="17" t="n">
        <f aca="false">F34-E34</f>
        <v>60</v>
      </c>
      <c r="H34" s="22" t="s">
        <v>34</v>
      </c>
      <c r="I34" s="23" t="n">
        <v>1</v>
      </c>
      <c r="J34" s="12" t="s">
        <v>249</v>
      </c>
      <c r="K34" s="12" t="s">
        <v>254</v>
      </c>
    </row>
    <row r="35" customFormat="false" ht="15" hidden="false" customHeight="false" outlineLevel="0" collapsed="false">
      <c r="A35" s="20" t="s">
        <v>255</v>
      </c>
      <c r="B35" s="8" t="s">
        <v>256</v>
      </c>
      <c r="C35" s="8"/>
      <c r="D35" s="8"/>
      <c r="E35" s="20"/>
      <c r="F35" s="20"/>
      <c r="G35" s="20"/>
      <c r="H35" s="20"/>
      <c r="I35" s="20"/>
      <c r="J35" s="8"/>
      <c r="K35" s="8"/>
    </row>
    <row r="36" customFormat="false" ht="15" hidden="false" customHeight="false" outlineLevel="0" collapsed="false">
      <c r="A36" s="17" t="s">
        <v>257</v>
      </c>
      <c r="B36" s="12" t="s">
        <v>258</v>
      </c>
      <c r="C36" s="15" t="s">
        <v>162</v>
      </c>
      <c r="D36" s="12" t="s">
        <v>176</v>
      </c>
      <c r="E36" s="21" t="n">
        <v>44348</v>
      </c>
      <c r="F36" s="21" t="n">
        <v>44804</v>
      </c>
      <c r="G36" s="17" t="n">
        <f aca="false">F36-E36</f>
        <v>456</v>
      </c>
      <c r="H36" s="22" t="s">
        <v>34</v>
      </c>
      <c r="I36" s="23" t="n">
        <v>1</v>
      </c>
      <c r="J36" s="12" t="s">
        <v>252</v>
      </c>
      <c r="K36" s="12" t="s">
        <v>259</v>
      </c>
    </row>
    <row r="37" customFormat="false" ht="23.85" hidden="false" customHeight="false" outlineLevel="0" collapsed="false">
      <c r="A37" s="17" t="s">
        <v>260</v>
      </c>
      <c r="B37" s="12" t="s">
        <v>261</v>
      </c>
      <c r="C37" s="15" t="s">
        <v>162</v>
      </c>
      <c r="D37" s="12" t="s">
        <v>170</v>
      </c>
      <c r="E37" s="21" t="n">
        <v>44562</v>
      </c>
      <c r="F37" s="21" t="n">
        <v>44804</v>
      </c>
      <c r="G37" s="17" t="n">
        <f aca="false">F37-E37</f>
        <v>242</v>
      </c>
      <c r="H37" s="22" t="s">
        <v>34</v>
      </c>
      <c r="I37" s="23" t="n">
        <v>1</v>
      </c>
      <c r="J37" s="12" t="s">
        <v>257</v>
      </c>
      <c r="K37" s="12" t="s">
        <v>262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7" min="5" style="0" width="13"/>
    <col collapsed="false" customWidth="true" hidden="false" outlineLevel="0" max="8" min="8" style="0" width="36"/>
  </cols>
  <sheetData>
    <row r="1" customFormat="false" ht="25.5" hidden="false" customHeight="true" outlineLevel="0" collapsed="false">
      <c r="A1" s="1" t="s">
        <v>263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7" t="s">
        <v>91</v>
      </c>
      <c r="B3" s="7" t="s">
        <v>264</v>
      </c>
      <c r="C3" s="7" t="s">
        <v>265</v>
      </c>
      <c r="D3" s="7" t="s">
        <v>266</v>
      </c>
      <c r="E3" s="7" t="s">
        <v>267</v>
      </c>
      <c r="F3" s="7" t="s">
        <v>268</v>
      </c>
      <c r="G3" s="7" t="s">
        <v>154</v>
      </c>
      <c r="H3" s="7" t="s">
        <v>157</v>
      </c>
    </row>
    <row r="4" customFormat="false" ht="23.85" hidden="false" customHeight="false" outlineLevel="0" collapsed="false">
      <c r="A4" s="17" t="s">
        <v>269</v>
      </c>
      <c r="B4" s="12" t="s">
        <v>270</v>
      </c>
      <c r="C4" s="17" t="s">
        <v>271</v>
      </c>
      <c r="D4" s="12" t="s">
        <v>162</v>
      </c>
      <c r="E4" s="21" t="n">
        <v>43852</v>
      </c>
      <c r="F4" s="21" t="n">
        <v>43852</v>
      </c>
      <c r="G4" s="22" t="s">
        <v>34</v>
      </c>
      <c r="H4" s="12" t="s">
        <v>171</v>
      </c>
    </row>
    <row r="5" customFormat="false" ht="23.85" hidden="false" customHeight="false" outlineLevel="0" collapsed="false">
      <c r="A5" s="17" t="s">
        <v>272</v>
      </c>
      <c r="B5" s="12" t="s">
        <v>273</v>
      </c>
      <c r="C5" s="17" t="s">
        <v>274</v>
      </c>
      <c r="D5" s="12" t="s">
        <v>162</v>
      </c>
      <c r="E5" s="21" t="n">
        <v>43885</v>
      </c>
      <c r="F5" s="21" t="n">
        <v>43887</v>
      </c>
      <c r="G5" s="22" t="s">
        <v>34</v>
      </c>
      <c r="H5" s="12" t="s">
        <v>275</v>
      </c>
    </row>
    <row r="6" customFormat="false" ht="15" hidden="false" customHeight="false" outlineLevel="0" collapsed="false">
      <c r="A6" s="17" t="s">
        <v>276</v>
      </c>
      <c r="B6" s="12" t="s">
        <v>277</v>
      </c>
      <c r="C6" s="17" t="s">
        <v>278</v>
      </c>
      <c r="D6" s="12" t="s">
        <v>193</v>
      </c>
      <c r="E6" s="21" t="n">
        <v>43921</v>
      </c>
      <c r="F6" s="21" t="n">
        <v>43923</v>
      </c>
      <c r="G6" s="22" t="s">
        <v>34</v>
      </c>
      <c r="H6" s="12"/>
    </row>
    <row r="7" customFormat="false" ht="23.85" hidden="false" customHeight="false" outlineLevel="0" collapsed="false">
      <c r="A7" s="17" t="s">
        <v>279</v>
      </c>
      <c r="B7" s="12" t="s">
        <v>280</v>
      </c>
      <c r="C7" s="17" t="s">
        <v>281</v>
      </c>
      <c r="D7" s="12" t="s">
        <v>162</v>
      </c>
      <c r="E7" s="21" t="n">
        <v>43936</v>
      </c>
      <c r="F7" s="21" t="n">
        <v>43936</v>
      </c>
      <c r="G7" s="22" t="s">
        <v>34</v>
      </c>
      <c r="H7" s="12"/>
    </row>
    <row r="8" customFormat="false" ht="23.85" hidden="false" customHeight="false" outlineLevel="0" collapsed="false">
      <c r="A8" s="17" t="s">
        <v>282</v>
      </c>
      <c r="B8" s="12" t="s">
        <v>283</v>
      </c>
      <c r="C8" s="17" t="s">
        <v>284</v>
      </c>
      <c r="D8" s="12" t="s">
        <v>162</v>
      </c>
      <c r="E8" s="21" t="n">
        <v>43982</v>
      </c>
      <c r="F8" s="21" t="n">
        <v>43982</v>
      </c>
      <c r="G8" s="22" t="s">
        <v>34</v>
      </c>
      <c r="H8" s="12" t="s">
        <v>285</v>
      </c>
    </row>
    <row r="9" customFormat="false" ht="23.85" hidden="false" customHeight="false" outlineLevel="0" collapsed="false">
      <c r="A9" s="17" t="s">
        <v>286</v>
      </c>
      <c r="B9" s="12" t="s">
        <v>287</v>
      </c>
      <c r="C9" s="17" t="s">
        <v>288</v>
      </c>
      <c r="D9" s="12" t="s">
        <v>162</v>
      </c>
      <c r="E9" s="21" t="n">
        <v>44286</v>
      </c>
      <c r="F9" s="21" t="n">
        <v>44301</v>
      </c>
      <c r="G9" s="22" t="s">
        <v>34</v>
      </c>
      <c r="H9" s="12" t="s">
        <v>289</v>
      </c>
    </row>
    <row r="10" customFormat="false" ht="23.85" hidden="false" customHeight="false" outlineLevel="0" collapsed="false">
      <c r="A10" s="17" t="s">
        <v>290</v>
      </c>
      <c r="B10" s="12" t="s">
        <v>291</v>
      </c>
      <c r="C10" s="17" t="s">
        <v>292</v>
      </c>
      <c r="D10" s="12" t="s">
        <v>162</v>
      </c>
      <c r="E10" s="21" t="n">
        <v>44377</v>
      </c>
      <c r="F10" s="21" t="n">
        <v>44377</v>
      </c>
      <c r="G10" s="22" t="s">
        <v>34</v>
      </c>
      <c r="H10" s="12" t="s">
        <v>293</v>
      </c>
    </row>
    <row r="11" customFormat="false" ht="23.85" hidden="false" customHeight="false" outlineLevel="0" collapsed="false">
      <c r="A11" s="17" t="s">
        <v>294</v>
      </c>
      <c r="B11" s="12" t="s">
        <v>295</v>
      </c>
      <c r="C11" s="17" t="s">
        <v>296</v>
      </c>
      <c r="D11" s="12" t="s">
        <v>162</v>
      </c>
      <c r="E11" s="21" t="n">
        <v>44804</v>
      </c>
      <c r="F11" s="21" t="n">
        <v>44804</v>
      </c>
      <c r="G11" s="22" t="s">
        <v>34</v>
      </c>
      <c r="H11" s="12" t="s">
        <v>297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42"/>
  </cols>
  <sheetData>
    <row r="1" customFormat="false" ht="25.5" hidden="false" customHeight="true" outlineLevel="0" collapsed="false">
      <c r="A1" s="1" t="s">
        <v>298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7" t="s">
        <v>91</v>
      </c>
      <c r="B3" s="7" t="s">
        <v>299</v>
      </c>
      <c r="C3" s="7" t="s">
        <v>300</v>
      </c>
      <c r="D3" s="7" t="s">
        <v>301</v>
      </c>
      <c r="E3" s="7" t="s">
        <v>302</v>
      </c>
      <c r="F3" s="7" t="s">
        <v>303</v>
      </c>
      <c r="G3" s="7" t="s">
        <v>304</v>
      </c>
      <c r="H3" s="7" t="s">
        <v>305</v>
      </c>
      <c r="I3" s="7" t="s">
        <v>306</v>
      </c>
      <c r="J3" s="7" t="s">
        <v>307</v>
      </c>
    </row>
    <row r="4" customFormat="false" ht="15" hidden="false" customHeight="false" outlineLevel="0" collapsed="false">
      <c r="A4" s="17" t="s">
        <v>308</v>
      </c>
      <c r="B4" s="12" t="s">
        <v>309</v>
      </c>
      <c r="C4" s="17" t="s">
        <v>310</v>
      </c>
      <c r="D4" s="23" t="n">
        <v>0.13</v>
      </c>
      <c r="E4" s="23" t="n">
        <v>0.2</v>
      </c>
      <c r="F4" s="23" t="n">
        <v>0.2</v>
      </c>
      <c r="G4" s="23" t="n">
        <v>0.3</v>
      </c>
      <c r="H4" s="23" t="n">
        <f aca="false">F4-D4</f>
        <v>0.07</v>
      </c>
      <c r="I4" s="24" t="n">
        <f aca="false">IFERROR(F4/D4-1,0)</f>
        <v>0.538461538461539</v>
      </c>
      <c r="J4" s="12" t="s">
        <v>311</v>
      </c>
    </row>
    <row r="5" customFormat="false" ht="23.85" hidden="false" customHeight="false" outlineLevel="0" collapsed="false">
      <c r="A5" s="17" t="s">
        <v>312</v>
      </c>
      <c r="B5" s="12" t="s">
        <v>313</v>
      </c>
      <c r="C5" s="17" t="s">
        <v>310</v>
      </c>
      <c r="D5" s="23" t="n">
        <v>0.36</v>
      </c>
      <c r="E5" s="23" t="n">
        <v>0.5</v>
      </c>
      <c r="F5" s="23" t="n">
        <v>0.5</v>
      </c>
      <c r="G5" s="23" t="n">
        <v>0.67</v>
      </c>
      <c r="H5" s="23" t="n">
        <f aca="false">F5-D5</f>
        <v>0.14</v>
      </c>
      <c r="I5" s="24" t="n">
        <f aca="false">IFERROR(F5/D5-1,0)</f>
        <v>0.388888888888889</v>
      </c>
      <c r="J5" s="12" t="s">
        <v>314</v>
      </c>
    </row>
    <row r="6" customFormat="false" ht="15" hidden="false" customHeight="false" outlineLevel="0" collapsed="false">
      <c r="A6" s="17" t="s">
        <v>315</v>
      </c>
      <c r="B6" s="12" t="s">
        <v>316</v>
      </c>
      <c r="C6" s="17" t="s">
        <v>310</v>
      </c>
      <c r="D6" s="23" t="n">
        <v>0.15</v>
      </c>
      <c r="E6" s="23" t="n">
        <v>0.05</v>
      </c>
      <c r="F6" s="23" t="n">
        <v>0.05</v>
      </c>
      <c r="G6" s="23" t="n">
        <v>0.03</v>
      </c>
      <c r="H6" s="23" t="n">
        <f aca="false">F6-D6</f>
        <v>-0.1</v>
      </c>
      <c r="I6" s="24" t="n">
        <f aca="false">IFERROR(F6/D6-1,0)</f>
        <v>-0.666666666666667</v>
      </c>
      <c r="J6" s="12" t="s">
        <v>317</v>
      </c>
    </row>
    <row r="7" customFormat="false" ht="15" hidden="false" customHeight="false" outlineLevel="0" collapsed="false">
      <c r="A7" s="17" t="s">
        <v>318</v>
      </c>
      <c r="B7" s="12" t="s">
        <v>319</v>
      </c>
      <c r="C7" s="17" t="s">
        <v>320</v>
      </c>
      <c r="D7" s="17" t="n">
        <v>0.75</v>
      </c>
      <c r="E7" s="17" t="n">
        <v>2</v>
      </c>
      <c r="F7" s="17" t="n">
        <v>1.8</v>
      </c>
      <c r="G7" s="17" t="n">
        <v>2.2</v>
      </c>
      <c r="H7" s="17" t="n">
        <f aca="false">F7-D7</f>
        <v>1.05</v>
      </c>
      <c r="I7" s="24" t="n">
        <f aca="false">IFERROR(F7/D7-1,0)</f>
        <v>1.4</v>
      </c>
      <c r="J7" s="12" t="s">
        <v>321</v>
      </c>
    </row>
    <row r="8" customFormat="false" ht="23.85" hidden="false" customHeight="false" outlineLevel="0" collapsed="false">
      <c r="A8" s="17" t="s">
        <v>322</v>
      </c>
      <c r="B8" s="12" t="s">
        <v>323</v>
      </c>
      <c r="C8" s="17" t="s">
        <v>324</v>
      </c>
      <c r="D8" s="17" t="n">
        <v>7</v>
      </c>
      <c r="E8" s="17" t="n">
        <v>1</v>
      </c>
      <c r="F8" s="17" t="n">
        <v>1</v>
      </c>
      <c r="G8" s="17" t="n">
        <v>1</v>
      </c>
      <c r="H8" s="17" t="n">
        <f aca="false">F8-D8</f>
        <v>-6</v>
      </c>
      <c r="I8" s="24" t="n">
        <f aca="false">IFERROR(F8/D8-1,0)</f>
        <v>-0.857142857142857</v>
      </c>
      <c r="J8" s="12" t="s">
        <v>325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44"/>
    <col collapsed="false" customWidth="true" hidden="false" outlineLevel="0" max="8" min="8" style="0" width="22"/>
    <col collapsed="false" customWidth="true" hidden="false" outlineLevel="0" max="9" min="9" style="0" width="13"/>
  </cols>
  <sheetData>
    <row r="1" customFormat="false" ht="25.5" hidden="false" customHeight="true" outlineLevel="0" collapsed="false">
      <c r="A1" s="1" t="s">
        <v>326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7" t="s">
        <v>91</v>
      </c>
      <c r="B3" s="7" t="s">
        <v>327</v>
      </c>
      <c r="C3" s="7" t="s">
        <v>328</v>
      </c>
      <c r="D3" s="7" t="s">
        <v>329</v>
      </c>
      <c r="E3" s="7" t="s">
        <v>330</v>
      </c>
      <c r="F3" s="7" t="s">
        <v>96</v>
      </c>
      <c r="G3" s="7" t="s">
        <v>331</v>
      </c>
      <c r="H3" s="7" t="s">
        <v>266</v>
      </c>
      <c r="I3" s="7" t="s">
        <v>154</v>
      </c>
    </row>
    <row r="4" customFormat="false" ht="23.85" hidden="false" customHeight="false" outlineLevel="0" collapsed="false">
      <c r="A4" s="17" t="s">
        <v>332</v>
      </c>
      <c r="B4" s="12" t="s">
        <v>333</v>
      </c>
      <c r="C4" s="17" t="s">
        <v>106</v>
      </c>
      <c r="D4" s="17" t="s">
        <v>103</v>
      </c>
      <c r="E4" s="17" t="s">
        <v>103</v>
      </c>
      <c r="F4" s="18" t="s">
        <v>103</v>
      </c>
      <c r="G4" s="12" t="s">
        <v>334</v>
      </c>
      <c r="H4" s="12" t="s">
        <v>162</v>
      </c>
      <c r="I4" s="12" t="s">
        <v>335</v>
      </c>
    </row>
    <row r="5" customFormat="false" ht="15" hidden="false" customHeight="false" outlineLevel="0" collapsed="false">
      <c r="A5" s="17" t="s">
        <v>336</v>
      </c>
      <c r="B5" s="12" t="s">
        <v>337</v>
      </c>
      <c r="C5" s="17" t="s">
        <v>338</v>
      </c>
      <c r="D5" s="17" t="s">
        <v>103</v>
      </c>
      <c r="E5" s="17" t="s">
        <v>103</v>
      </c>
      <c r="F5" s="18" t="s">
        <v>103</v>
      </c>
      <c r="G5" s="12" t="s">
        <v>339</v>
      </c>
      <c r="H5" s="12" t="s">
        <v>193</v>
      </c>
      <c r="I5" s="12" t="s">
        <v>335</v>
      </c>
    </row>
    <row r="6" customFormat="false" ht="23.85" hidden="false" customHeight="false" outlineLevel="0" collapsed="false">
      <c r="A6" s="17" t="s">
        <v>340</v>
      </c>
      <c r="B6" s="12" t="s">
        <v>341</v>
      </c>
      <c r="C6" s="17" t="s">
        <v>135</v>
      </c>
      <c r="D6" s="17" t="s">
        <v>132</v>
      </c>
      <c r="E6" s="17" t="s">
        <v>103</v>
      </c>
      <c r="F6" s="18" t="s">
        <v>103</v>
      </c>
      <c r="G6" s="12" t="s">
        <v>342</v>
      </c>
      <c r="H6" s="12" t="s">
        <v>162</v>
      </c>
      <c r="I6" s="12" t="s">
        <v>335</v>
      </c>
    </row>
    <row r="7" customFormat="false" ht="23.85" hidden="false" customHeight="false" outlineLevel="0" collapsed="false">
      <c r="A7" s="17" t="s">
        <v>343</v>
      </c>
      <c r="B7" s="12" t="s">
        <v>344</v>
      </c>
      <c r="C7" s="17" t="s">
        <v>123</v>
      </c>
      <c r="D7" s="17" t="s">
        <v>103</v>
      </c>
      <c r="E7" s="17" t="s">
        <v>132</v>
      </c>
      <c r="F7" s="19" t="s">
        <v>132</v>
      </c>
      <c r="G7" s="12" t="s">
        <v>345</v>
      </c>
      <c r="H7" s="12" t="s">
        <v>162</v>
      </c>
      <c r="I7" s="12" t="s">
        <v>335</v>
      </c>
    </row>
    <row r="8" customFormat="false" ht="23.85" hidden="false" customHeight="false" outlineLevel="0" collapsed="false">
      <c r="A8" s="17" t="s">
        <v>346</v>
      </c>
      <c r="B8" s="12" t="s">
        <v>347</v>
      </c>
      <c r="C8" s="17" t="s">
        <v>348</v>
      </c>
      <c r="D8" s="17" t="s">
        <v>132</v>
      </c>
      <c r="E8" s="17" t="s">
        <v>103</v>
      </c>
      <c r="F8" s="18" t="s">
        <v>103</v>
      </c>
      <c r="G8" s="12" t="s">
        <v>349</v>
      </c>
      <c r="H8" s="12" t="s">
        <v>180</v>
      </c>
      <c r="I8" s="12" t="s">
        <v>350</v>
      </c>
    </row>
    <row r="9" customFormat="false" ht="23.85" hidden="false" customHeight="false" outlineLevel="0" collapsed="false">
      <c r="A9" s="17" t="s">
        <v>351</v>
      </c>
      <c r="B9" s="12" t="s">
        <v>352</v>
      </c>
      <c r="C9" s="17" t="s">
        <v>353</v>
      </c>
      <c r="D9" s="17" t="s">
        <v>132</v>
      </c>
      <c r="E9" s="17" t="s">
        <v>132</v>
      </c>
      <c r="F9" s="19" t="s">
        <v>132</v>
      </c>
      <c r="G9" s="12" t="s">
        <v>354</v>
      </c>
      <c r="H9" s="12" t="s">
        <v>162</v>
      </c>
      <c r="I9" s="12" t="s">
        <v>355</v>
      </c>
    </row>
    <row r="10" customFormat="false" ht="23.85" hidden="false" customHeight="false" outlineLevel="0" collapsed="false">
      <c r="A10" s="17" t="s">
        <v>356</v>
      </c>
      <c r="B10" s="12" t="s">
        <v>357</v>
      </c>
      <c r="C10" s="17" t="s">
        <v>358</v>
      </c>
      <c r="D10" s="17" t="s">
        <v>103</v>
      </c>
      <c r="E10" s="17" t="s">
        <v>103</v>
      </c>
      <c r="F10" s="18" t="s">
        <v>103</v>
      </c>
      <c r="G10" s="12" t="s">
        <v>359</v>
      </c>
      <c r="H10" s="12" t="s">
        <v>162</v>
      </c>
      <c r="I10" s="12" t="s">
        <v>355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2026-07-14T20:04:31Z</dcterms:created>
  <dc:creator>openpyxl</dc:creator>
  <dc:description/>
  <dc:language>en-US</dc:language>
  <cp:lastModifiedBy/>
  <dcterms:modified xsi:type="dcterms:W3CDTF">2026-07-14T20:04:31Z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